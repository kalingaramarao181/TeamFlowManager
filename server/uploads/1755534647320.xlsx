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659213-DCA5-4940-A14C-0281DDDF8B81}" xr6:coauthVersionLast="47" xr6:coauthVersionMax="47" xr10:uidLastSave="{00000000-0000-0000-0000-000000000000}"/>
  <bookViews>
    <workbookView xWindow="-120" yWindow="-120" windowWidth="21840" windowHeight="13140" firstSheet="1" activeTab="6" xr2:uid="{00000000-000D-0000-FFFF-FFFF00000000}"/>
  </bookViews>
  <sheets>
    <sheet name="WORKERS" sheetId="7" r:id="rId1"/>
    <sheet name="SAW MILL" sheetId="2" r:id="rId2"/>
    <sheet name="BRIQUETTE" sheetId="6" r:id="rId3"/>
    <sheet name="SAW DUST MACHINE" sheetId="4" r:id="rId4"/>
    <sheet name="DRIER" sheetId="5" r:id="rId5"/>
    <sheet name="LOADING LABOUR" sheetId="3" r:id="rId6"/>
    <sheet name="FINAL WEEK REPORT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4" l="1"/>
  <c r="B73" i="6"/>
  <c r="B73" i="5"/>
  <c r="J74" i="3"/>
  <c r="I74" i="3"/>
  <c r="H74" i="3"/>
  <c r="G74" i="3"/>
  <c r="F74" i="3"/>
  <c r="E74" i="3"/>
  <c r="D74" i="3"/>
  <c r="J74" i="5"/>
  <c r="I74" i="5"/>
  <c r="H74" i="5"/>
  <c r="G74" i="5"/>
  <c r="F74" i="5"/>
  <c r="E74" i="5"/>
  <c r="D74" i="5"/>
  <c r="J74" i="6"/>
  <c r="I74" i="6"/>
  <c r="H74" i="6"/>
  <c r="G74" i="6"/>
  <c r="F74" i="6"/>
  <c r="E74" i="6"/>
  <c r="D74" i="6"/>
  <c r="D74" i="4"/>
  <c r="J74" i="4"/>
  <c r="I74" i="4"/>
  <c r="H74" i="4"/>
  <c r="G74" i="4"/>
  <c r="F74" i="4"/>
  <c r="E74" i="4"/>
  <c r="E74" i="2"/>
  <c r="F74" i="2"/>
  <c r="G74" i="2"/>
  <c r="H74" i="2"/>
  <c r="I74" i="2"/>
  <c r="J74" i="2"/>
  <c r="D74" i="2"/>
  <c r="B73" i="2"/>
  <c r="D8" i="8"/>
  <c r="E8" i="8"/>
  <c r="F8" i="8"/>
  <c r="G8" i="8"/>
  <c r="H8" i="8"/>
  <c r="I8" i="8"/>
  <c r="C8" i="8"/>
  <c r="C7" i="8"/>
  <c r="D7" i="8"/>
  <c r="E7" i="8"/>
  <c r="F7" i="8"/>
  <c r="G7" i="8"/>
  <c r="H7" i="8"/>
  <c r="I7" i="8"/>
  <c r="C6" i="8"/>
  <c r="D6" i="8"/>
  <c r="E6" i="8"/>
  <c r="F6" i="8"/>
  <c r="G6" i="8"/>
  <c r="H6" i="8"/>
  <c r="I6" i="8"/>
  <c r="C5" i="8"/>
  <c r="D5" i="8"/>
  <c r="E5" i="8"/>
  <c r="F5" i="8"/>
  <c r="G5" i="8"/>
  <c r="H5" i="8"/>
  <c r="I5" i="8"/>
  <c r="C4" i="8"/>
  <c r="D4" i="8"/>
  <c r="E4" i="8"/>
  <c r="F4" i="8"/>
  <c r="G4" i="8"/>
  <c r="H4" i="8"/>
  <c r="I4" i="8"/>
  <c r="K6" i="3"/>
  <c r="K7" i="3"/>
  <c r="K73" i="3"/>
  <c r="C73" i="3"/>
  <c r="K72" i="3"/>
  <c r="C72" i="3"/>
  <c r="B72" i="3"/>
  <c r="K71" i="3"/>
  <c r="C71" i="3"/>
  <c r="B71" i="3"/>
  <c r="K70" i="3"/>
  <c r="C70" i="3"/>
  <c r="B70" i="3"/>
  <c r="K69" i="3"/>
  <c r="C69" i="3"/>
  <c r="B69" i="3"/>
  <c r="K68" i="3"/>
  <c r="C68" i="3"/>
  <c r="B68" i="3"/>
  <c r="K67" i="3"/>
  <c r="C67" i="3"/>
  <c r="B67" i="3"/>
  <c r="K66" i="3"/>
  <c r="C66" i="3"/>
  <c r="B66" i="3"/>
  <c r="K65" i="3"/>
  <c r="C65" i="3"/>
  <c r="B65" i="3"/>
  <c r="K64" i="3"/>
  <c r="C64" i="3"/>
  <c r="B64" i="3"/>
  <c r="K63" i="3"/>
  <c r="C63" i="3"/>
  <c r="B63" i="3"/>
  <c r="K62" i="3"/>
  <c r="C62" i="3"/>
  <c r="B62" i="3"/>
  <c r="K61" i="3"/>
  <c r="C61" i="3"/>
  <c r="B61" i="3"/>
  <c r="K60" i="3"/>
  <c r="C60" i="3"/>
  <c r="B60" i="3"/>
  <c r="K59" i="3"/>
  <c r="C59" i="3"/>
  <c r="B59" i="3"/>
  <c r="K58" i="3"/>
  <c r="C58" i="3"/>
  <c r="B58" i="3"/>
  <c r="K57" i="3"/>
  <c r="C57" i="3"/>
  <c r="B57" i="3"/>
  <c r="K56" i="3"/>
  <c r="C56" i="3"/>
  <c r="B56" i="3"/>
  <c r="K55" i="3"/>
  <c r="C55" i="3"/>
  <c r="B55" i="3"/>
  <c r="K54" i="3"/>
  <c r="C54" i="3"/>
  <c r="B54" i="3"/>
  <c r="K53" i="3"/>
  <c r="C53" i="3"/>
  <c r="B53" i="3"/>
  <c r="K52" i="3"/>
  <c r="C52" i="3"/>
  <c r="B52" i="3"/>
  <c r="K51" i="3"/>
  <c r="C51" i="3"/>
  <c r="B51" i="3"/>
  <c r="K50" i="3"/>
  <c r="C50" i="3"/>
  <c r="B50" i="3"/>
  <c r="K49" i="3"/>
  <c r="C49" i="3"/>
  <c r="B49" i="3"/>
  <c r="K48" i="3"/>
  <c r="C48" i="3"/>
  <c r="B48" i="3"/>
  <c r="K47" i="3"/>
  <c r="C47" i="3"/>
  <c r="B47" i="3"/>
  <c r="K46" i="3"/>
  <c r="C46" i="3"/>
  <c r="B46" i="3"/>
  <c r="K45" i="3"/>
  <c r="C45" i="3"/>
  <c r="B45" i="3"/>
  <c r="K44" i="3"/>
  <c r="C44" i="3"/>
  <c r="B44" i="3"/>
  <c r="K43" i="3"/>
  <c r="C43" i="3"/>
  <c r="B43" i="3"/>
  <c r="K42" i="3"/>
  <c r="C42" i="3"/>
  <c r="B42" i="3"/>
  <c r="K41" i="3"/>
  <c r="C41" i="3"/>
  <c r="B41" i="3"/>
  <c r="K40" i="3"/>
  <c r="C40" i="3"/>
  <c r="B40" i="3"/>
  <c r="K39" i="3"/>
  <c r="C39" i="3"/>
  <c r="B39" i="3"/>
  <c r="K38" i="3"/>
  <c r="C38" i="3"/>
  <c r="B38" i="3"/>
  <c r="K37" i="3"/>
  <c r="C37" i="3"/>
  <c r="B37" i="3"/>
  <c r="K36" i="3"/>
  <c r="C36" i="3"/>
  <c r="B36" i="3"/>
  <c r="K35" i="3"/>
  <c r="C35" i="3"/>
  <c r="B35" i="3"/>
  <c r="K34" i="3"/>
  <c r="C34" i="3"/>
  <c r="B34" i="3"/>
  <c r="K33" i="3"/>
  <c r="C33" i="3"/>
  <c r="B33" i="3"/>
  <c r="K32" i="3"/>
  <c r="C32" i="3"/>
  <c r="B32" i="3"/>
  <c r="K31" i="3"/>
  <c r="C31" i="3"/>
  <c r="B31" i="3"/>
  <c r="K30" i="3"/>
  <c r="C30" i="3"/>
  <c r="B30" i="3"/>
  <c r="K29" i="3"/>
  <c r="C29" i="3"/>
  <c r="B29" i="3"/>
  <c r="K28" i="3"/>
  <c r="C28" i="3"/>
  <c r="B28" i="3"/>
  <c r="K27" i="3"/>
  <c r="C27" i="3"/>
  <c r="B27" i="3"/>
  <c r="K26" i="3"/>
  <c r="C26" i="3"/>
  <c r="B26" i="3"/>
  <c r="K25" i="3"/>
  <c r="C25" i="3"/>
  <c r="B25" i="3"/>
  <c r="K24" i="3"/>
  <c r="C24" i="3"/>
  <c r="B24" i="3"/>
  <c r="K23" i="3"/>
  <c r="C23" i="3"/>
  <c r="B23" i="3"/>
  <c r="K22" i="3"/>
  <c r="C22" i="3"/>
  <c r="B22" i="3"/>
  <c r="K21" i="3"/>
  <c r="C21" i="3"/>
  <c r="B21" i="3"/>
  <c r="K20" i="3"/>
  <c r="C20" i="3"/>
  <c r="B20" i="3"/>
  <c r="K19" i="3"/>
  <c r="C19" i="3"/>
  <c r="B19" i="3"/>
  <c r="K18" i="3"/>
  <c r="C18" i="3"/>
  <c r="B18" i="3"/>
  <c r="K17" i="3"/>
  <c r="C17" i="3"/>
  <c r="B17" i="3"/>
  <c r="K16" i="3"/>
  <c r="C16" i="3"/>
  <c r="B16" i="3"/>
  <c r="K15" i="3"/>
  <c r="C15" i="3"/>
  <c r="B15" i="3"/>
  <c r="K14" i="3"/>
  <c r="C14" i="3"/>
  <c r="B14" i="3"/>
  <c r="K13" i="3"/>
  <c r="C13" i="3"/>
  <c r="B13" i="3"/>
  <c r="K12" i="3"/>
  <c r="C12" i="3"/>
  <c r="B12" i="3"/>
  <c r="K11" i="3"/>
  <c r="C11" i="3"/>
  <c r="B11" i="3"/>
  <c r="K10" i="3"/>
  <c r="C10" i="3"/>
  <c r="B10" i="3"/>
  <c r="K9" i="3"/>
  <c r="C9" i="3"/>
  <c r="B9" i="3"/>
  <c r="K8" i="3"/>
  <c r="C8" i="3"/>
  <c r="B8" i="3"/>
  <c r="C7" i="3"/>
  <c r="B7" i="3"/>
  <c r="C6" i="3"/>
  <c r="B6" i="3"/>
  <c r="K73" i="5"/>
  <c r="C73" i="5"/>
  <c r="K72" i="5"/>
  <c r="C72" i="5"/>
  <c r="B72" i="5"/>
  <c r="K71" i="5"/>
  <c r="C71" i="5"/>
  <c r="B71" i="5"/>
  <c r="K70" i="5"/>
  <c r="C70" i="5"/>
  <c r="B70" i="5"/>
  <c r="K69" i="5"/>
  <c r="C69" i="5"/>
  <c r="B69" i="5"/>
  <c r="K68" i="5"/>
  <c r="C68" i="5"/>
  <c r="B68" i="5"/>
  <c r="K67" i="5"/>
  <c r="C67" i="5"/>
  <c r="B67" i="5"/>
  <c r="K66" i="5"/>
  <c r="C66" i="5"/>
  <c r="B66" i="5"/>
  <c r="K65" i="5"/>
  <c r="C65" i="5"/>
  <c r="B65" i="5"/>
  <c r="K64" i="5"/>
  <c r="C64" i="5"/>
  <c r="B64" i="5"/>
  <c r="K63" i="5"/>
  <c r="C63" i="5"/>
  <c r="B63" i="5"/>
  <c r="K62" i="5"/>
  <c r="C62" i="5"/>
  <c r="B62" i="5"/>
  <c r="K61" i="5"/>
  <c r="C61" i="5"/>
  <c r="B61" i="5"/>
  <c r="K60" i="5"/>
  <c r="C60" i="5"/>
  <c r="B60" i="5"/>
  <c r="K59" i="5"/>
  <c r="C59" i="5"/>
  <c r="B59" i="5"/>
  <c r="K58" i="5"/>
  <c r="C58" i="5"/>
  <c r="B58" i="5"/>
  <c r="K57" i="5"/>
  <c r="C57" i="5"/>
  <c r="B57" i="5"/>
  <c r="K56" i="5"/>
  <c r="C56" i="5"/>
  <c r="B56" i="5"/>
  <c r="K55" i="5"/>
  <c r="C55" i="5"/>
  <c r="B55" i="5"/>
  <c r="K54" i="5"/>
  <c r="C54" i="5"/>
  <c r="B54" i="5"/>
  <c r="K53" i="5"/>
  <c r="C53" i="5"/>
  <c r="B53" i="5"/>
  <c r="K52" i="5"/>
  <c r="C52" i="5"/>
  <c r="B52" i="5"/>
  <c r="K51" i="5"/>
  <c r="C51" i="5"/>
  <c r="B51" i="5"/>
  <c r="K50" i="5"/>
  <c r="C50" i="5"/>
  <c r="B50" i="5"/>
  <c r="K49" i="5"/>
  <c r="C49" i="5"/>
  <c r="B49" i="5"/>
  <c r="K48" i="5"/>
  <c r="C48" i="5"/>
  <c r="B48" i="5"/>
  <c r="K47" i="5"/>
  <c r="C47" i="5"/>
  <c r="B47" i="5"/>
  <c r="K46" i="5"/>
  <c r="C46" i="5"/>
  <c r="B46" i="5"/>
  <c r="K45" i="5"/>
  <c r="C45" i="5"/>
  <c r="B45" i="5"/>
  <c r="K44" i="5"/>
  <c r="C44" i="5"/>
  <c r="B44" i="5"/>
  <c r="K43" i="5"/>
  <c r="C43" i="5"/>
  <c r="B43" i="5"/>
  <c r="K42" i="5"/>
  <c r="C42" i="5"/>
  <c r="B42" i="5"/>
  <c r="K41" i="5"/>
  <c r="C41" i="5"/>
  <c r="B41" i="5"/>
  <c r="K40" i="5"/>
  <c r="C40" i="5"/>
  <c r="B40" i="5"/>
  <c r="K39" i="5"/>
  <c r="C39" i="5"/>
  <c r="B39" i="5"/>
  <c r="K38" i="5"/>
  <c r="C38" i="5"/>
  <c r="B38" i="5"/>
  <c r="K37" i="5"/>
  <c r="C37" i="5"/>
  <c r="B37" i="5"/>
  <c r="K36" i="5"/>
  <c r="C36" i="5"/>
  <c r="B36" i="5"/>
  <c r="K35" i="5"/>
  <c r="C35" i="5"/>
  <c r="B35" i="5"/>
  <c r="K34" i="5"/>
  <c r="C34" i="5"/>
  <c r="B34" i="5"/>
  <c r="K33" i="5"/>
  <c r="C33" i="5"/>
  <c r="B33" i="5"/>
  <c r="K32" i="5"/>
  <c r="C32" i="5"/>
  <c r="B32" i="5"/>
  <c r="K31" i="5"/>
  <c r="C31" i="5"/>
  <c r="B31" i="5"/>
  <c r="K30" i="5"/>
  <c r="C30" i="5"/>
  <c r="B30" i="5"/>
  <c r="K29" i="5"/>
  <c r="C29" i="5"/>
  <c r="B29" i="5"/>
  <c r="K28" i="5"/>
  <c r="C28" i="5"/>
  <c r="B28" i="5"/>
  <c r="K27" i="5"/>
  <c r="C27" i="5"/>
  <c r="B27" i="5"/>
  <c r="K26" i="5"/>
  <c r="C26" i="5"/>
  <c r="B26" i="5"/>
  <c r="K25" i="5"/>
  <c r="C25" i="5"/>
  <c r="B25" i="5"/>
  <c r="K24" i="5"/>
  <c r="C24" i="5"/>
  <c r="B24" i="5"/>
  <c r="K23" i="5"/>
  <c r="C23" i="5"/>
  <c r="B23" i="5"/>
  <c r="K22" i="5"/>
  <c r="C22" i="5"/>
  <c r="B22" i="5"/>
  <c r="K21" i="5"/>
  <c r="C21" i="5"/>
  <c r="B21" i="5"/>
  <c r="K20" i="5"/>
  <c r="C20" i="5"/>
  <c r="B20" i="5"/>
  <c r="K19" i="5"/>
  <c r="C19" i="5"/>
  <c r="B19" i="5"/>
  <c r="K18" i="5"/>
  <c r="C18" i="5"/>
  <c r="B18" i="5"/>
  <c r="K17" i="5"/>
  <c r="C17" i="5"/>
  <c r="B17" i="5"/>
  <c r="K16" i="5"/>
  <c r="C16" i="5"/>
  <c r="B16" i="5"/>
  <c r="K15" i="5"/>
  <c r="C15" i="5"/>
  <c r="B15" i="5"/>
  <c r="K14" i="5"/>
  <c r="C14" i="5"/>
  <c r="B14" i="5"/>
  <c r="K13" i="5"/>
  <c r="C13" i="5"/>
  <c r="B13" i="5"/>
  <c r="K12" i="5"/>
  <c r="C12" i="5"/>
  <c r="B12" i="5"/>
  <c r="K11" i="5"/>
  <c r="C11" i="5"/>
  <c r="B11" i="5"/>
  <c r="K10" i="5"/>
  <c r="C10" i="5"/>
  <c r="B10" i="5"/>
  <c r="K9" i="5"/>
  <c r="C9" i="5"/>
  <c r="B9" i="5"/>
  <c r="K8" i="5"/>
  <c r="C8" i="5"/>
  <c r="B8" i="5"/>
  <c r="K7" i="5"/>
  <c r="C7" i="5"/>
  <c r="B7" i="5"/>
  <c r="K6" i="5"/>
  <c r="C6" i="5"/>
  <c r="B6" i="5"/>
  <c r="K73" i="6"/>
  <c r="C73" i="6"/>
  <c r="K72" i="6"/>
  <c r="C72" i="6"/>
  <c r="B72" i="6"/>
  <c r="K71" i="6"/>
  <c r="C71" i="6"/>
  <c r="B71" i="6"/>
  <c r="K70" i="6"/>
  <c r="C70" i="6"/>
  <c r="B70" i="6"/>
  <c r="K69" i="6"/>
  <c r="C69" i="6"/>
  <c r="B69" i="6"/>
  <c r="K68" i="6"/>
  <c r="C68" i="6"/>
  <c r="B68" i="6"/>
  <c r="K67" i="6"/>
  <c r="C67" i="6"/>
  <c r="B67" i="6"/>
  <c r="K66" i="6"/>
  <c r="C66" i="6"/>
  <c r="B66" i="6"/>
  <c r="K65" i="6"/>
  <c r="C65" i="6"/>
  <c r="B65" i="6"/>
  <c r="K64" i="6"/>
  <c r="C64" i="6"/>
  <c r="B64" i="6"/>
  <c r="K63" i="6"/>
  <c r="C63" i="6"/>
  <c r="B63" i="6"/>
  <c r="K62" i="6"/>
  <c r="C62" i="6"/>
  <c r="B62" i="6"/>
  <c r="K61" i="6"/>
  <c r="C61" i="6"/>
  <c r="B61" i="6"/>
  <c r="K60" i="6"/>
  <c r="C60" i="6"/>
  <c r="B60" i="6"/>
  <c r="K59" i="6"/>
  <c r="C59" i="6"/>
  <c r="B59" i="6"/>
  <c r="K58" i="6"/>
  <c r="C58" i="6"/>
  <c r="B58" i="6"/>
  <c r="K57" i="6"/>
  <c r="C57" i="6"/>
  <c r="B57" i="6"/>
  <c r="K56" i="6"/>
  <c r="C56" i="6"/>
  <c r="B56" i="6"/>
  <c r="K55" i="6"/>
  <c r="C55" i="6"/>
  <c r="B55" i="6"/>
  <c r="K54" i="6"/>
  <c r="C54" i="6"/>
  <c r="B54" i="6"/>
  <c r="K53" i="6"/>
  <c r="C53" i="6"/>
  <c r="B53" i="6"/>
  <c r="K52" i="6"/>
  <c r="C52" i="6"/>
  <c r="B52" i="6"/>
  <c r="K51" i="6"/>
  <c r="C51" i="6"/>
  <c r="B51" i="6"/>
  <c r="K50" i="6"/>
  <c r="C50" i="6"/>
  <c r="B50" i="6"/>
  <c r="K49" i="6"/>
  <c r="C49" i="6"/>
  <c r="B49" i="6"/>
  <c r="K48" i="6"/>
  <c r="C48" i="6"/>
  <c r="B48" i="6"/>
  <c r="K47" i="6"/>
  <c r="C47" i="6"/>
  <c r="B47" i="6"/>
  <c r="K46" i="6"/>
  <c r="C46" i="6"/>
  <c r="B46" i="6"/>
  <c r="K45" i="6"/>
  <c r="C45" i="6"/>
  <c r="B45" i="6"/>
  <c r="K44" i="6"/>
  <c r="C44" i="6"/>
  <c r="B44" i="6"/>
  <c r="K43" i="6"/>
  <c r="C43" i="6"/>
  <c r="B43" i="6"/>
  <c r="K42" i="6"/>
  <c r="C42" i="6"/>
  <c r="B42" i="6"/>
  <c r="K41" i="6"/>
  <c r="C41" i="6"/>
  <c r="B41" i="6"/>
  <c r="K40" i="6"/>
  <c r="C40" i="6"/>
  <c r="B40" i="6"/>
  <c r="K39" i="6"/>
  <c r="C39" i="6"/>
  <c r="B39" i="6"/>
  <c r="K38" i="6"/>
  <c r="C38" i="6"/>
  <c r="B38" i="6"/>
  <c r="K37" i="6"/>
  <c r="C37" i="6"/>
  <c r="B37" i="6"/>
  <c r="K36" i="6"/>
  <c r="C36" i="6"/>
  <c r="B36" i="6"/>
  <c r="K35" i="6"/>
  <c r="C35" i="6"/>
  <c r="B35" i="6"/>
  <c r="K34" i="6"/>
  <c r="C34" i="6"/>
  <c r="B34" i="6"/>
  <c r="K33" i="6"/>
  <c r="C33" i="6"/>
  <c r="B33" i="6"/>
  <c r="K32" i="6"/>
  <c r="C32" i="6"/>
  <c r="B32" i="6"/>
  <c r="K31" i="6"/>
  <c r="C31" i="6"/>
  <c r="B31" i="6"/>
  <c r="K30" i="6"/>
  <c r="C30" i="6"/>
  <c r="B30" i="6"/>
  <c r="K29" i="6"/>
  <c r="C29" i="6"/>
  <c r="B29" i="6"/>
  <c r="K28" i="6"/>
  <c r="C28" i="6"/>
  <c r="B28" i="6"/>
  <c r="K27" i="6"/>
  <c r="C27" i="6"/>
  <c r="B27" i="6"/>
  <c r="K26" i="6"/>
  <c r="C26" i="6"/>
  <c r="B26" i="6"/>
  <c r="K25" i="6"/>
  <c r="C25" i="6"/>
  <c r="B25" i="6"/>
  <c r="K24" i="6"/>
  <c r="C24" i="6"/>
  <c r="B24" i="6"/>
  <c r="K23" i="6"/>
  <c r="C23" i="6"/>
  <c r="B23" i="6"/>
  <c r="K22" i="6"/>
  <c r="C22" i="6"/>
  <c r="B22" i="6"/>
  <c r="K21" i="6"/>
  <c r="C21" i="6"/>
  <c r="B21" i="6"/>
  <c r="K20" i="6"/>
  <c r="C20" i="6"/>
  <c r="B20" i="6"/>
  <c r="K19" i="6"/>
  <c r="C19" i="6"/>
  <c r="B19" i="6"/>
  <c r="K18" i="6"/>
  <c r="C18" i="6"/>
  <c r="B18" i="6"/>
  <c r="K17" i="6"/>
  <c r="C17" i="6"/>
  <c r="B17" i="6"/>
  <c r="K16" i="6"/>
  <c r="C16" i="6"/>
  <c r="B16" i="6"/>
  <c r="K15" i="6"/>
  <c r="C15" i="6"/>
  <c r="B15" i="6"/>
  <c r="K14" i="6"/>
  <c r="C14" i="6"/>
  <c r="B14" i="6"/>
  <c r="K13" i="6"/>
  <c r="C13" i="6"/>
  <c r="B13" i="6"/>
  <c r="K12" i="6"/>
  <c r="C12" i="6"/>
  <c r="B12" i="6"/>
  <c r="K11" i="6"/>
  <c r="C11" i="6"/>
  <c r="B11" i="6"/>
  <c r="K10" i="6"/>
  <c r="C10" i="6"/>
  <c r="B10" i="6"/>
  <c r="K9" i="6"/>
  <c r="C9" i="6"/>
  <c r="B9" i="6"/>
  <c r="K8" i="6"/>
  <c r="C8" i="6"/>
  <c r="B8" i="6"/>
  <c r="K7" i="6"/>
  <c r="C7" i="6"/>
  <c r="B7" i="6"/>
  <c r="K6" i="6"/>
  <c r="C6" i="6"/>
  <c r="B6" i="6"/>
  <c r="K73" i="4"/>
  <c r="C73" i="4"/>
  <c r="K72" i="4"/>
  <c r="C72" i="4"/>
  <c r="B72" i="4"/>
  <c r="K71" i="4"/>
  <c r="C71" i="4"/>
  <c r="B71" i="4"/>
  <c r="K70" i="4"/>
  <c r="C70" i="4"/>
  <c r="B70" i="4"/>
  <c r="K69" i="4"/>
  <c r="C69" i="4"/>
  <c r="B69" i="4"/>
  <c r="K68" i="4"/>
  <c r="C68" i="4"/>
  <c r="B68" i="4"/>
  <c r="K67" i="4"/>
  <c r="C67" i="4"/>
  <c r="B67" i="4"/>
  <c r="K66" i="4"/>
  <c r="C66" i="4"/>
  <c r="B66" i="4"/>
  <c r="K65" i="4"/>
  <c r="C65" i="4"/>
  <c r="B65" i="4"/>
  <c r="K64" i="4"/>
  <c r="C64" i="4"/>
  <c r="B64" i="4"/>
  <c r="K63" i="4"/>
  <c r="C63" i="4"/>
  <c r="B63" i="4"/>
  <c r="K62" i="4"/>
  <c r="C62" i="4"/>
  <c r="B62" i="4"/>
  <c r="K61" i="4"/>
  <c r="C61" i="4"/>
  <c r="B61" i="4"/>
  <c r="K60" i="4"/>
  <c r="C60" i="4"/>
  <c r="B60" i="4"/>
  <c r="K59" i="4"/>
  <c r="C59" i="4"/>
  <c r="B59" i="4"/>
  <c r="K58" i="4"/>
  <c r="C58" i="4"/>
  <c r="B58" i="4"/>
  <c r="K57" i="4"/>
  <c r="C57" i="4"/>
  <c r="B57" i="4"/>
  <c r="K56" i="4"/>
  <c r="C56" i="4"/>
  <c r="B56" i="4"/>
  <c r="K55" i="4"/>
  <c r="C55" i="4"/>
  <c r="B55" i="4"/>
  <c r="K54" i="4"/>
  <c r="C54" i="4"/>
  <c r="B54" i="4"/>
  <c r="K53" i="4"/>
  <c r="C53" i="4"/>
  <c r="B53" i="4"/>
  <c r="K52" i="4"/>
  <c r="C52" i="4"/>
  <c r="B52" i="4"/>
  <c r="K51" i="4"/>
  <c r="C51" i="4"/>
  <c r="B51" i="4"/>
  <c r="K50" i="4"/>
  <c r="C50" i="4"/>
  <c r="B50" i="4"/>
  <c r="K49" i="4"/>
  <c r="C49" i="4"/>
  <c r="B49" i="4"/>
  <c r="K48" i="4"/>
  <c r="C48" i="4"/>
  <c r="B48" i="4"/>
  <c r="K47" i="4"/>
  <c r="C47" i="4"/>
  <c r="B47" i="4"/>
  <c r="K46" i="4"/>
  <c r="C46" i="4"/>
  <c r="B46" i="4"/>
  <c r="K45" i="4"/>
  <c r="C45" i="4"/>
  <c r="B45" i="4"/>
  <c r="K44" i="4"/>
  <c r="C44" i="4"/>
  <c r="B44" i="4"/>
  <c r="K43" i="4"/>
  <c r="C43" i="4"/>
  <c r="B43" i="4"/>
  <c r="K42" i="4"/>
  <c r="C42" i="4"/>
  <c r="B42" i="4"/>
  <c r="K41" i="4"/>
  <c r="C41" i="4"/>
  <c r="B41" i="4"/>
  <c r="K40" i="4"/>
  <c r="C40" i="4"/>
  <c r="B40" i="4"/>
  <c r="K39" i="4"/>
  <c r="C39" i="4"/>
  <c r="B39" i="4"/>
  <c r="K38" i="4"/>
  <c r="C38" i="4"/>
  <c r="B38" i="4"/>
  <c r="K37" i="4"/>
  <c r="C37" i="4"/>
  <c r="B37" i="4"/>
  <c r="K36" i="4"/>
  <c r="C36" i="4"/>
  <c r="B36" i="4"/>
  <c r="K35" i="4"/>
  <c r="C35" i="4"/>
  <c r="B35" i="4"/>
  <c r="K34" i="4"/>
  <c r="C34" i="4"/>
  <c r="B34" i="4"/>
  <c r="K33" i="4"/>
  <c r="C33" i="4"/>
  <c r="B33" i="4"/>
  <c r="K32" i="4"/>
  <c r="C32" i="4"/>
  <c r="B32" i="4"/>
  <c r="K31" i="4"/>
  <c r="C31" i="4"/>
  <c r="B31" i="4"/>
  <c r="K30" i="4"/>
  <c r="C30" i="4"/>
  <c r="B30" i="4"/>
  <c r="K29" i="4"/>
  <c r="C29" i="4"/>
  <c r="B29" i="4"/>
  <c r="K28" i="4"/>
  <c r="C28" i="4"/>
  <c r="B28" i="4"/>
  <c r="K27" i="4"/>
  <c r="C27" i="4"/>
  <c r="B27" i="4"/>
  <c r="K26" i="4"/>
  <c r="C26" i="4"/>
  <c r="B26" i="4"/>
  <c r="K25" i="4"/>
  <c r="C25" i="4"/>
  <c r="B25" i="4"/>
  <c r="K24" i="4"/>
  <c r="C24" i="4"/>
  <c r="B24" i="4"/>
  <c r="K23" i="4"/>
  <c r="C23" i="4"/>
  <c r="B23" i="4"/>
  <c r="K22" i="4"/>
  <c r="C22" i="4"/>
  <c r="B22" i="4"/>
  <c r="K21" i="4"/>
  <c r="C21" i="4"/>
  <c r="B21" i="4"/>
  <c r="K20" i="4"/>
  <c r="C20" i="4"/>
  <c r="B20" i="4"/>
  <c r="K19" i="4"/>
  <c r="C19" i="4"/>
  <c r="B19" i="4"/>
  <c r="K18" i="4"/>
  <c r="C18" i="4"/>
  <c r="B18" i="4"/>
  <c r="K17" i="4"/>
  <c r="C17" i="4"/>
  <c r="B17" i="4"/>
  <c r="K16" i="4"/>
  <c r="C16" i="4"/>
  <c r="B16" i="4"/>
  <c r="K15" i="4"/>
  <c r="C15" i="4"/>
  <c r="B15" i="4"/>
  <c r="K14" i="4"/>
  <c r="C14" i="4"/>
  <c r="B14" i="4"/>
  <c r="K13" i="4"/>
  <c r="C13" i="4"/>
  <c r="B13" i="4"/>
  <c r="K12" i="4"/>
  <c r="C12" i="4"/>
  <c r="B12" i="4"/>
  <c r="K11" i="4"/>
  <c r="C11" i="4"/>
  <c r="B11" i="4"/>
  <c r="K10" i="4"/>
  <c r="C10" i="4"/>
  <c r="B10" i="4"/>
  <c r="K9" i="4"/>
  <c r="C9" i="4"/>
  <c r="B9" i="4"/>
  <c r="K8" i="4"/>
  <c r="C8" i="4"/>
  <c r="B8" i="4"/>
  <c r="K7" i="4"/>
  <c r="C7" i="4"/>
  <c r="B7" i="4"/>
  <c r="K6" i="4"/>
  <c r="C6" i="4"/>
  <c r="B6" i="4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6" i="2"/>
  <c r="K74" i="3" l="1"/>
  <c r="K8" i="8" s="1"/>
  <c r="J8" i="8"/>
  <c r="K74" i="5"/>
  <c r="K7" i="8" s="1"/>
  <c r="K74" i="6"/>
  <c r="K6" i="8" s="1"/>
  <c r="K74" i="4"/>
  <c r="J5" i="8"/>
  <c r="J6" i="8"/>
  <c r="J7" i="8"/>
  <c r="K5" i="8"/>
  <c r="J4" i="8"/>
  <c r="K74" i="2"/>
  <c r="K76" i="2" l="1"/>
  <c r="I11" i="8" s="1"/>
  <c r="K76" i="6"/>
  <c r="I12" i="8" s="1"/>
  <c r="J9" i="8"/>
  <c r="K4" i="8"/>
  <c r="K9" i="8" s="1"/>
  <c r="I13" i="8" l="1"/>
</calcChain>
</file>

<file path=xl/sharedStrings.xml><?xml version="1.0" encoding="utf-8"?>
<sst xmlns="http://schemas.openxmlformats.org/spreadsheetml/2006/main" count="146" uniqueCount="72">
  <si>
    <t>ROHITH MAJHI</t>
  </si>
  <si>
    <t>KUNJABIHARI MAJHI</t>
  </si>
  <si>
    <t>JANMENJAYA BHOI</t>
  </si>
  <si>
    <t>VIJAY BHOI</t>
  </si>
  <si>
    <t>LINGRAJ PODH</t>
  </si>
  <si>
    <t>RUSHIBHOI</t>
  </si>
  <si>
    <t>LAXMIDHAR DORA</t>
  </si>
  <si>
    <t>RASIKA GOUD</t>
  </si>
  <si>
    <t>BALABHADRA DORA</t>
  </si>
  <si>
    <t>KESAV TILI</t>
  </si>
  <si>
    <t>KAILASH</t>
  </si>
  <si>
    <t>MOHITH</t>
  </si>
  <si>
    <t>TRILOCHAN</t>
  </si>
  <si>
    <t>ANIL MAJHI</t>
  </si>
  <si>
    <t>THABIR GOUD</t>
  </si>
  <si>
    <t>RANJITH</t>
  </si>
  <si>
    <t>DRIER</t>
  </si>
  <si>
    <t>GULUK VRYANG</t>
  </si>
  <si>
    <t>MUNNA</t>
  </si>
  <si>
    <t>PURAUSTAM BANCHOR</t>
  </si>
  <si>
    <t>SAW DUST MACHINE</t>
  </si>
  <si>
    <t>ANAND</t>
  </si>
  <si>
    <t>PRASHANTH</t>
  </si>
  <si>
    <t>YERNAMMA</t>
  </si>
  <si>
    <t>BRIQUETTE</t>
  </si>
  <si>
    <t>T.DILLESWAR RAO</t>
  </si>
  <si>
    <t>BIJAY MAJHI</t>
  </si>
  <si>
    <t>BASANTA MAJHI</t>
  </si>
  <si>
    <t>SUBHAS MAJHI</t>
  </si>
  <si>
    <t>NAME</t>
  </si>
  <si>
    <t>SARATH</t>
  </si>
  <si>
    <t>PARMANANDA BANCHOR</t>
  </si>
  <si>
    <t>JAGATHRAY KANTERI</t>
  </si>
  <si>
    <t xml:space="preserve">JAGADISH </t>
  </si>
  <si>
    <t>JAGADISH DORA</t>
  </si>
  <si>
    <t>DEVI</t>
  </si>
  <si>
    <t>KONDAMMA</t>
  </si>
  <si>
    <t>RAMAKANTA BANCHOR</t>
  </si>
  <si>
    <t>RAJENDRA DORA</t>
  </si>
  <si>
    <t>S NO</t>
  </si>
  <si>
    <t>SUNDAY</t>
  </si>
  <si>
    <t>MONDAY</t>
  </si>
  <si>
    <t>TUESDAY</t>
  </si>
  <si>
    <t>WEDNESDAY</t>
  </si>
  <si>
    <t>THURSDAY</t>
  </si>
  <si>
    <t>FRIDAY</t>
  </si>
  <si>
    <t>SATURDAY</t>
  </si>
  <si>
    <t>BASIC SALARY/DAY</t>
  </si>
  <si>
    <t>TOTAL AMOUNT</t>
  </si>
  <si>
    <t>DHULIPUDI TIMBER PRODUCTS PVT LTD - SAWMILL DATA</t>
  </si>
  <si>
    <t>TOTAL AMOUNT/WEEK</t>
  </si>
  <si>
    <t>SAWMILL</t>
  </si>
  <si>
    <t>TOTAL WORKERS</t>
  </si>
  <si>
    <t>DEPORTMENT</t>
  </si>
  <si>
    <t>DEPORTMENT WISE WORING DAYS</t>
  </si>
  <si>
    <t>FINAL REPORT</t>
  </si>
  <si>
    <t>WORKERS LIST</t>
  </si>
  <si>
    <t>B</t>
  </si>
  <si>
    <t>A</t>
  </si>
  <si>
    <t>TOTAL WORKING DAYS AND AMOUNT</t>
  </si>
  <si>
    <t>AMOUNT PER CFT</t>
  </si>
  <si>
    <t>WEEKLY TOTAL CFT</t>
  </si>
  <si>
    <t>LOADING LABOUR</t>
  </si>
  <si>
    <t>DATE</t>
  </si>
  <si>
    <t>DHULIPUDI TIMBER PRODUCTS PVT LTD - SAW DUST MACHINE DATA</t>
  </si>
  <si>
    <t>DHULIPUDI TIMBER PRODUCTS PVT LTD - DRIER DATA</t>
  </si>
  <si>
    <t>DHULIPUDI TIMBER PRODUCTS PVT LTD - LOADING LABOUR DATA</t>
  </si>
  <si>
    <t>AMOUNT PER TONNAGE</t>
  </si>
  <si>
    <t>SAWMILL, LOADING LABOUR</t>
  </si>
  <si>
    <t>BRUQUETTE, SAW DUST MECHINE, DRIER</t>
  </si>
  <si>
    <t>WORKING DAYS - SHIFTS (Fill the cells with 'A' or 'B')</t>
  </si>
  <si>
    <t>TOTAL CALLACULATION IN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</si>
</sst>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14" fontId="3" fillId="3" borderId="27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0" xfId="0" applyBorder="1"/>
    <xf numFmtId="0" fontId="5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2" fontId="5" fillId="5" borderId="1" xfId="0" applyNumberFormat="1" applyFont="1" applyFill="1" applyBorder="1" applyAlignment="1">
      <alignment horizontal="center"/>
    </xf>
    <xf numFmtId="2" fontId="2" fillId="2" borderId="30" xfId="0" applyNumberFormat="1" applyFont="1" applyFill="1" applyBorder="1" applyAlignment="1">
      <alignment horizontal="center" vertical="center"/>
    </xf>
    <xf numFmtId="2" fontId="2" fillId="2" borderId="31" xfId="0" applyNumberFormat="1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F2C4-3C71-42D3-93A1-38281F0E77FB}">
  <dimension ref="B2:D69"/>
  <sheetViews>
    <sheetView workbookViewId="0">
      <selection activeCell="G7" sqref="G7"/>
    </sheetView>
  </sheetViews>
  <sheetFormatPr defaultRowHeight="15" x14ac:dyDescent="0.25"/>
  <cols>
    <col min="2" max="2" width="9.140625" style="3"/>
    <col min="3" max="3" width="24" bestFit="1" customWidth="1"/>
    <col min="4" max="4" width="17.85546875" style="3" bestFit="1" customWidth="1"/>
  </cols>
  <sheetData>
    <row r="2" spans="2:4" ht="21" x14ac:dyDescent="0.35">
      <c r="B2" s="27" t="s">
        <v>56</v>
      </c>
      <c r="C2" s="27"/>
      <c r="D2" s="27"/>
    </row>
    <row r="3" spans="2:4" ht="20.25" customHeight="1" x14ac:dyDescent="0.25">
      <c r="B3" s="6" t="s">
        <v>39</v>
      </c>
      <c r="C3" s="6" t="s">
        <v>29</v>
      </c>
      <c r="D3" s="6" t="s">
        <v>47</v>
      </c>
    </row>
    <row r="4" spans="2:4" ht="20.25" customHeight="1" x14ac:dyDescent="0.25">
      <c r="B4" s="7">
        <v>1</v>
      </c>
      <c r="C4" s="1" t="s">
        <v>25</v>
      </c>
      <c r="D4" s="20">
        <v>1200</v>
      </c>
    </row>
    <row r="5" spans="2:4" ht="20.25" customHeight="1" x14ac:dyDescent="0.25">
      <c r="B5" s="7">
        <v>2</v>
      </c>
      <c r="C5" s="1" t="s">
        <v>1</v>
      </c>
      <c r="D5" s="20">
        <v>900</v>
      </c>
    </row>
    <row r="6" spans="2:4" ht="20.25" customHeight="1" x14ac:dyDescent="0.25">
      <c r="B6" s="7">
        <v>3</v>
      </c>
      <c r="C6" s="1" t="s">
        <v>28</v>
      </c>
      <c r="D6" s="20">
        <v>1200</v>
      </c>
    </row>
    <row r="7" spans="2:4" ht="20.25" customHeight="1" x14ac:dyDescent="0.25">
      <c r="B7" s="7">
        <v>4</v>
      </c>
      <c r="C7" s="1" t="s">
        <v>11</v>
      </c>
      <c r="D7" s="20">
        <v>700</v>
      </c>
    </row>
    <row r="8" spans="2:4" ht="20.25" customHeight="1" x14ac:dyDescent="0.25">
      <c r="B8" s="7">
        <v>5</v>
      </c>
      <c r="C8" s="1" t="s">
        <v>26</v>
      </c>
      <c r="D8" s="20">
        <v>700</v>
      </c>
    </row>
    <row r="9" spans="2:4" ht="20.25" customHeight="1" x14ac:dyDescent="0.25">
      <c r="B9" s="7">
        <v>6</v>
      </c>
      <c r="C9" s="1" t="s">
        <v>27</v>
      </c>
      <c r="D9" s="20">
        <v>700</v>
      </c>
    </row>
    <row r="10" spans="2:4" ht="20.25" customHeight="1" x14ac:dyDescent="0.25">
      <c r="B10" s="7">
        <v>7</v>
      </c>
      <c r="C10" s="1" t="s">
        <v>0</v>
      </c>
      <c r="D10" s="20">
        <v>1200</v>
      </c>
    </row>
    <row r="11" spans="2:4" ht="20.25" customHeight="1" x14ac:dyDescent="0.25">
      <c r="B11" s="7">
        <v>8</v>
      </c>
      <c r="C11" s="2" t="s">
        <v>2</v>
      </c>
      <c r="D11" s="21">
        <v>700</v>
      </c>
    </row>
    <row r="12" spans="2:4" ht="20.25" customHeight="1" x14ac:dyDescent="0.25">
      <c r="B12" s="7">
        <v>9</v>
      </c>
      <c r="C12" s="1" t="s">
        <v>19</v>
      </c>
      <c r="D12" s="20">
        <v>583.34</v>
      </c>
    </row>
    <row r="13" spans="2:4" ht="20.25" customHeight="1" x14ac:dyDescent="0.25">
      <c r="B13" s="7">
        <v>10</v>
      </c>
      <c r="C13" s="1" t="s">
        <v>14</v>
      </c>
      <c r="D13" s="22">
        <v>583.34</v>
      </c>
    </row>
    <row r="14" spans="2:4" ht="20.25" customHeight="1" x14ac:dyDescent="0.25">
      <c r="B14" s="7">
        <v>11</v>
      </c>
      <c r="C14" s="2" t="s">
        <v>30</v>
      </c>
      <c r="D14" s="21">
        <v>583.34</v>
      </c>
    </row>
    <row r="15" spans="2:4" ht="20.25" customHeight="1" x14ac:dyDescent="0.25">
      <c r="B15" s="7">
        <v>12</v>
      </c>
      <c r="C15" s="1" t="s">
        <v>13</v>
      </c>
      <c r="D15" s="7">
        <v>583.34</v>
      </c>
    </row>
    <row r="16" spans="2:4" ht="20.25" customHeight="1" x14ac:dyDescent="0.25">
      <c r="B16" s="7">
        <v>13</v>
      </c>
      <c r="C16" s="1" t="s">
        <v>7</v>
      </c>
      <c r="D16" s="7">
        <v>583.34</v>
      </c>
    </row>
    <row r="17" spans="2:4" ht="20.25" customHeight="1" x14ac:dyDescent="0.25">
      <c r="B17" s="7">
        <v>14</v>
      </c>
      <c r="C17" s="1" t="s">
        <v>31</v>
      </c>
      <c r="D17" s="7">
        <v>583.34</v>
      </c>
    </row>
    <row r="18" spans="2:4" ht="20.25" customHeight="1" x14ac:dyDescent="0.25">
      <c r="B18" s="7">
        <v>15</v>
      </c>
      <c r="C18" s="1" t="s">
        <v>4</v>
      </c>
      <c r="D18" s="7">
        <v>583.34</v>
      </c>
    </row>
    <row r="19" spans="2:4" ht="20.25" customHeight="1" x14ac:dyDescent="0.25">
      <c r="B19" s="7">
        <v>16</v>
      </c>
      <c r="C19" s="1" t="s">
        <v>37</v>
      </c>
      <c r="D19" s="7">
        <v>583.34</v>
      </c>
    </row>
    <row r="20" spans="2:4" ht="20.25" customHeight="1" x14ac:dyDescent="0.25">
      <c r="B20" s="7">
        <v>17</v>
      </c>
      <c r="C20" s="2" t="s">
        <v>5</v>
      </c>
      <c r="D20" s="23">
        <v>583.34</v>
      </c>
    </row>
    <row r="21" spans="2:4" ht="20.25" customHeight="1" x14ac:dyDescent="0.25">
      <c r="B21" s="7">
        <v>18</v>
      </c>
      <c r="C21" s="2" t="s">
        <v>3</v>
      </c>
      <c r="D21" s="23">
        <v>583.34</v>
      </c>
    </row>
    <row r="22" spans="2:4" ht="20.25" customHeight="1" x14ac:dyDescent="0.25">
      <c r="B22" s="7">
        <v>19</v>
      </c>
      <c r="C22" s="2" t="s">
        <v>32</v>
      </c>
      <c r="D22" s="23">
        <v>583.34</v>
      </c>
    </row>
    <row r="23" spans="2:4" ht="20.25" customHeight="1" x14ac:dyDescent="0.25">
      <c r="B23" s="7">
        <v>20</v>
      </c>
      <c r="C23" s="2" t="s">
        <v>10</v>
      </c>
      <c r="D23" s="23">
        <v>583.34</v>
      </c>
    </row>
    <row r="24" spans="2:4" ht="20.25" customHeight="1" x14ac:dyDescent="0.25">
      <c r="B24" s="7">
        <v>21</v>
      </c>
      <c r="C24" s="2" t="s">
        <v>22</v>
      </c>
      <c r="D24" s="24">
        <v>583.34</v>
      </c>
    </row>
    <row r="25" spans="2:4" ht="20.25" customHeight="1" x14ac:dyDescent="0.25">
      <c r="B25" s="7">
        <v>22</v>
      </c>
      <c r="C25" s="2" t="s">
        <v>9</v>
      </c>
      <c r="D25" s="22">
        <v>583.34</v>
      </c>
    </row>
    <row r="26" spans="2:4" ht="20.25" customHeight="1" x14ac:dyDescent="0.25">
      <c r="B26" s="7">
        <v>23</v>
      </c>
      <c r="C26" s="2" t="s">
        <v>33</v>
      </c>
      <c r="D26" s="23">
        <v>583.34</v>
      </c>
    </row>
    <row r="27" spans="2:4" ht="20.25" customHeight="1" x14ac:dyDescent="0.25">
      <c r="B27" s="7">
        <v>24</v>
      </c>
      <c r="C27" s="1" t="s">
        <v>6</v>
      </c>
      <c r="D27" s="22">
        <v>583.34</v>
      </c>
    </row>
    <row r="28" spans="2:4" ht="20.25" customHeight="1" x14ac:dyDescent="0.25">
      <c r="B28" s="7">
        <v>25</v>
      </c>
      <c r="C28" s="1" t="s">
        <v>21</v>
      </c>
      <c r="D28" s="23">
        <v>583.34</v>
      </c>
    </row>
    <row r="29" spans="2:4" ht="20.25" customHeight="1" x14ac:dyDescent="0.25">
      <c r="B29" s="7">
        <v>26</v>
      </c>
      <c r="C29" s="2" t="s">
        <v>12</v>
      </c>
      <c r="D29" s="25">
        <v>583.34</v>
      </c>
    </row>
    <row r="30" spans="2:4" ht="20.25" customHeight="1" x14ac:dyDescent="0.25">
      <c r="B30" s="7">
        <v>27</v>
      </c>
      <c r="C30" s="2" t="s">
        <v>17</v>
      </c>
      <c r="D30" s="26">
        <v>583.34</v>
      </c>
    </row>
    <row r="31" spans="2:4" ht="20.25" customHeight="1" x14ac:dyDescent="0.25">
      <c r="B31" s="7">
        <v>28</v>
      </c>
      <c r="C31" s="2" t="s">
        <v>8</v>
      </c>
      <c r="D31" s="26">
        <v>583.34</v>
      </c>
    </row>
    <row r="32" spans="2:4" ht="20.25" customHeight="1" x14ac:dyDescent="0.25">
      <c r="B32" s="7">
        <v>29</v>
      </c>
      <c r="C32" s="2" t="s">
        <v>15</v>
      </c>
      <c r="D32" s="26">
        <v>583.34</v>
      </c>
    </row>
    <row r="33" spans="2:4" ht="20.25" customHeight="1" x14ac:dyDescent="0.25">
      <c r="B33" s="7">
        <v>30</v>
      </c>
      <c r="C33" s="2" t="s">
        <v>34</v>
      </c>
      <c r="D33" s="25">
        <v>583.34</v>
      </c>
    </row>
    <row r="34" spans="2:4" ht="20.25" customHeight="1" x14ac:dyDescent="0.25">
      <c r="B34" s="7">
        <v>31</v>
      </c>
      <c r="C34" s="2" t="s">
        <v>18</v>
      </c>
      <c r="D34" s="26">
        <v>583.34</v>
      </c>
    </row>
    <row r="35" spans="2:4" ht="20.25" customHeight="1" x14ac:dyDescent="0.25">
      <c r="B35" s="7">
        <v>32</v>
      </c>
      <c r="C35" s="2" t="s">
        <v>35</v>
      </c>
      <c r="D35" s="24">
        <v>400</v>
      </c>
    </row>
    <row r="36" spans="2:4" ht="20.25" customHeight="1" x14ac:dyDescent="0.25">
      <c r="B36" s="7">
        <v>33</v>
      </c>
      <c r="C36" s="1" t="s">
        <v>36</v>
      </c>
      <c r="D36" s="24">
        <v>400</v>
      </c>
    </row>
    <row r="37" spans="2:4" ht="20.25" customHeight="1" x14ac:dyDescent="0.25">
      <c r="B37" s="7">
        <v>34</v>
      </c>
      <c r="C37" s="2" t="s">
        <v>23</v>
      </c>
      <c r="D37" s="24">
        <v>400</v>
      </c>
    </row>
    <row r="38" spans="2:4" ht="20.25" customHeight="1" x14ac:dyDescent="0.25">
      <c r="B38" s="7">
        <v>35</v>
      </c>
      <c r="C38" s="2" t="s">
        <v>38</v>
      </c>
      <c r="D38" s="24">
        <v>583.34</v>
      </c>
    </row>
    <row r="39" spans="2:4" ht="20.25" customHeight="1" x14ac:dyDescent="0.25">
      <c r="B39" s="7"/>
      <c r="C39" s="1"/>
      <c r="D39" s="7"/>
    </row>
    <row r="40" spans="2:4" ht="20.25" customHeight="1" x14ac:dyDescent="0.25">
      <c r="B40" s="7"/>
      <c r="C40" s="1"/>
      <c r="D40" s="7"/>
    </row>
    <row r="41" spans="2:4" ht="20.25" customHeight="1" x14ac:dyDescent="0.25">
      <c r="B41" s="7"/>
      <c r="C41" s="1"/>
      <c r="D41" s="7"/>
    </row>
    <row r="42" spans="2:4" ht="20.25" customHeight="1" x14ac:dyDescent="0.25">
      <c r="B42" s="7"/>
      <c r="C42" s="1"/>
      <c r="D42" s="7"/>
    </row>
    <row r="43" spans="2:4" ht="20.25" customHeight="1" x14ac:dyDescent="0.25">
      <c r="B43" s="7"/>
      <c r="C43" s="1"/>
      <c r="D43" s="7"/>
    </row>
    <row r="44" spans="2:4" ht="20.25" customHeight="1" x14ac:dyDescent="0.25">
      <c r="B44" s="7"/>
      <c r="C44" s="1"/>
      <c r="D44" s="7"/>
    </row>
    <row r="45" spans="2:4" ht="20.25" customHeight="1" x14ac:dyDescent="0.25">
      <c r="B45" s="7"/>
      <c r="C45" s="1"/>
      <c r="D45" s="7"/>
    </row>
    <row r="46" spans="2:4" ht="20.25" customHeight="1" x14ac:dyDescent="0.25">
      <c r="B46" s="7"/>
      <c r="C46" s="1"/>
      <c r="D46" s="7"/>
    </row>
    <row r="47" spans="2:4" ht="20.25" customHeight="1" x14ac:dyDescent="0.25">
      <c r="B47" s="7"/>
      <c r="C47" s="1"/>
      <c r="D47" s="7"/>
    </row>
    <row r="48" spans="2:4" ht="20.25" customHeight="1" x14ac:dyDescent="0.25">
      <c r="B48" s="7"/>
      <c r="C48" s="1"/>
      <c r="D48" s="7"/>
    </row>
    <row r="49" spans="2:4" ht="20.25" customHeight="1" x14ac:dyDescent="0.25">
      <c r="B49" s="7"/>
      <c r="C49" s="1"/>
      <c r="D49" s="7"/>
    </row>
    <row r="50" spans="2:4" ht="20.25" customHeight="1" x14ac:dyDescent="0.25">
      <c r="B50" s="7"/>
      <c r="C50" s="1"/>
      <c r="D50" s="7"/>
    </row>
    <row r="51" spans="2:4" ht="20.25" customHeight="1" x14ac:dyDescent="0.25">
      <c r="B51" s="7"/>
      <c r="C51" s="1"/>
      <c r="D51" s="7"/>
    </row>
    <row r="52" spans="2:4" ht="20.25" customHeight="1" x14ac:dyDescent="0.25">
      <c r="B52" s="7"/>
      <c r="C52" s="1"/>
      <c r="D52" s="7"/>
    </row>
    <row r="53" spans="2:4" ht="20.25" customHeight="1" x14ac:dyDescent="0.25">
      <c r="B53" s="7"/>
      <c r="C53" s="1"/>
      <c r="D53" s="7"/>
    </row>
    <row r="54" spans="2:4" ht="20.25" customHeight="1" x14ac:dyDescent="0.25">
      <c r="B54" s="7"/>
      <c r="C54" s="1"/>
      <c r="D54" s="7"/>
    </row>
    <row r="55" spans="2:4" ht="20.25" customHeight="1" x14ac:dyDescent="0.25">
      <c r="B55" s="7"/>
      <c r="C55" s="1"/>
      <c r="D55" s="7"/>
    </row>
    <row r="56" spans="2:4" ht="20.25" customHeight="1" x14ac:dyDescent="0.25">
      <c r="B56" s="7"/>
      <c r="C56" s="1"/>
      <c r="D56" s="7"/>
    </row>
    <row r="57" spans="2:4" ht="20.25" customHeight="1" x14ac:dyDescent="0.25">
      <c r="B57" s="7"/>
      <c r="C57" s="1"/>
      <c r="D57" s="7"/>
    </row>
    <row r="58" spans="2:4" ht="20.25" customHeight="1" x14ac:dyDescent="0.25">
      <c r="B58" s="7"/>
      <c r="C58" s="1"/>
      <c r="D58" s="7"/>
    </row>
    <row r="59" spans="2:4" ht="20.25" customHeight="1" x14ac:dyDescent="0.25">
      <c r="B59" s="7"/>
      <c r="C59" s="1"/>
      <c r="D59" s="7"/>
    </row>
    <row r="60" spans="2:4" ht="20.25" customHeight="1" x14ac:dyDescent="0.25">
      <c r="B60" s="7"/>
      <c r="C60" s="1"/>
      <c r="D60" s="7"/>
    </row>
    <row r="61" spans="2:4" ht="20.25" customHeight="1" x14ac:dyDescent="0.25">
      <c r="B61" s="7"/>
      <c r="C61" s="1"/>
      <c r="D61" s="7"/>
    </row>
    <row r="62" spans="2:4" ht="20.25" customHeight="1" x14ac:dyDescent="0.25">
      <c r="B62" s="7"/>
      <c r="C62" s="1"/>
      <c r="D62" s="7"/>
    </row>
    <row r="63" spans="2:4" ht="20.25" customHeight="1" x14ac:dyDescent="0.25">
      <c r="B63" s="7"/>
      <c r="C63" s="1"/>
      <c r="D63" s="7"/>
    </row>
    <row r="64" spans="2:4" ht="20.25" customHeight="1" x14ac:dyDescent="0.25">
      <c r="B64" s="7"/>
      <c r="C64" s="1"/>
      <c r="D64" s="7"/>
    </row>
    <row r="65" spans="2:4" ht="20.25" customHeight="1" x14ac:dyDescent="0.25">
      <c r="B65" s="7"/>
      <c r="C65" s="1"/>
      <c r="D65" s="7"/>
    </row>
    <row r="66" spans="2:4" ht="20.25" customHeight="1" x14ac:dyDescent="0.25">
      <c r="B66" s="7"/>
      <c r="C66" s="1"/>
      <c r="D66" s="7"/>
    </row>
    <row r="67" spans="2:4" ht="20.25" customHeight="1" x14ac:dyDescent="0.25">
      <c r="B67" s="7"/>
      <c r="C67" s="1"/>
      <c r="D67" s="7"/>
    </row>
    <row r="68" spans="2:4" ht="20.25" customHeight="1" x14ac:dyDescent="0.25">
      <c r="B68" s="7"/>
      <c r="C68" s="1"/>
      <c r="D68" s="7"/>
    </row>
    <row r="69" spans="2:4" ht="20.25" customHeight="1" x14ac:dyDescent="0.25">
      <c r="B69" s="7"/>
      <c r="C69" s="1"/>
      <c r="D69" s="7"/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A3C3-7769-4D57-9A42-E131B96E56AA}">
  <dimension ref="B2:K76"/>
  <sheetViews>
    <sheetView topLeftCell="A31" workbookViewId="0">
      <selection activeCell="M79" sqref="M79"/>
    </sheetView>
  </sheetViews>
  <sheetFormatPr defaultRowHeight="15" x14ac:dyDescent="0.25"/>
  <cols>
    <col min="2" max="2" width="9.140625" style="4"/>
    <col min="3" max="3" width="25.42578125" customWidth="1"/>
    <col min="4" max="10" width="13.28515625" style="3" customWidth="1"/>
    <col min="11" max="11" width="26.140625" style="3" customWidth="1"/>
  </cols>
  <sheetData>
    <row r="2" spans="2:11" ht="14.25" customHeight="1" x14ac:dyDescent="0.25">
      <c r="B2" s="43" t="s">
        <v>49</v>
      </c>
      <c r="C2" s="43"/>
      <c r="D2" s="43"/>
      <c r="E2" s="43"/>
      <c r="F2" s="43"/>
      <c r="G2" s="43"/>
      <c r="H2" s="43"/>
      <c r="I2" s="43"/>
      <c r="J2" s="44"/>
      <c r="K2" s="45" t="s">
        <v>63</v>
      </c>
    </row>
    <row r="3" spans="2:11" ht="17.25" customHeight="1" x14ac:dyDescent="0.25">
      <c r="B3" s="43"/>
      <c r="C3" s="43"/>
      <c r="D3" s="43"/>
      <c r="E3" s="43"/>
      <c r="F3" s="43"/>
      <c r="G3" s="43"/>
      <c r="H3" s="43"/>
      <c r="I3" s="43"/>
      <c r="J3" s="44"/>
      <c r="K3" s="46">
        <v>45857</v>
      </c>
    </row>
    <row r="4" spans="2:11" ht="15.75" x14ac:dyDescent="0.25">
      <c r="B4" s="29" t="s">
        <v>39</v>
      </c>
      <c r="C4" s="29" t="s">
        <v>29</v>
      </c>
      <c r="D4" s="28" t="s">
        <v>70</v>
      </c>
      <c r="E4" s="28"/>
      <c r="F4" s="28"/>
      <c r="G4" s="28"/>
      <c r="H4" s="28"/>
      <c r="I4" s="28"/>
      <c r="J4" s="28"/>
      <c r="K4" s="42" t="s">
        <v>50</v>
      </c>
    </row>
    <row r="5" spans="2:11" ht="15.75" x14ac:dyDescent="0.25">
      <c r="B5" s="29"/>
      <c r="C5" s="29"/>
      <c r="D5" s="72" t="s">
        <v>40</v>
      </c>
      <c r="E5" s="72" t="s">
        <v>41</v>
      </c>
      <c r="F5" s="72" t="s">
        <v>42</v>
      </c>
      <c r="G5" s="72" t="s">
        <v>43</v>
      </c>
      <c r="H5" s="72" t="s">
        <v>44</v>
      </c>
      <c r="I5" s="72" t="s">
        <v>45</v>
      </c>
      <c r="J5" s="72" t="s">
        <v>46</v>
      </c>
      <c r="K5" s="29"/>
    </row>
    <row r="6" spans="2:11" ht="21" customHeight="1" x14ac:dyDescent="0.25">
      <c r="B6" s="5">
        <f>WORKERS!B4</f>
        <v>1</v>
      </c>
      <c r="C6" s="8" t="str">
        <f>WORKERS!C4</f>
        <v>T.DILLESWAR RAO</v>
      </c>
      <c r="D6" s="7"/>
      <c r="E6" s="7"/>
      <c r="F6" s="7"/>
      <c r="G6" s="7"/>
      <c r="H6" s="7"/>
      <c r="I6" s="7"/>
      <c r="J6" s="7"/>
      <c r="K6" s="5">
        <f>SUM(COUNTIF(D6:J6,"A") + COUNTIF(D6:J6,"B")) * WORKERS!D4</f>
        <v>0</v>
      </c>
    </row>
    <row r="7" spans="2:11" ht="21" customHeight="1" x14ac:dyDescent="0.25">
      <c r="B7" s="5">
        <f>WORKERS!B5</f>
        <v>2</v>
      </c>
      <c r="C7" s="8" t="str">
        <f>WORKERS!C5</f>
        <v>KUNJABIHARI MAJHI</v>
      </c>
      <c r="D7" s="7"/>
      <c r="E7" s="7"/>
      <c r="F7" s="7"/>
      <c r="G7" s="7"/>
      <c r="H7" s="7"/>
      <c r="I7" s="7"/>
      <c r="J7" s="7"/>
      <c r="K7" s="5">
        <f>SUM(COUNTIF(D7:J7,"A") + COUNTIF(D7:J7,"B")) * WORKERS!D5</f>
        <v>0</v>
      </c>
    </row>
    <row r="8" spans="2:11" ht="21" customHeight="1" x14ac:dyDescent="0.25">
      <c r="B8" s="5">
        <f>WORKERS!B6</f>
        <v>3</v>
      </c>
      <c r="C8" s="8" t="str">
        <f>WORKERS!C6</f>
        <v>SUBHAS MAJHI</v>
      </c>
      <c r="D8" s="7"/>
      <c r="E8" s="7"/>
      <c r="F8" s="7"/>
      <c r="G8" s="7"/>
      <c r="H8" s="7"/>
      <c r="I8" s="7"/>
      <c r="J8" s="7"/>
      <c r="K8" s="5">
        <f>SUM(COUNTIF(D8:J8,"A") + COUNTIF(D8:J8,"B")) * WORKERS!D6</f>
        <v>0</v>
      </c>
    </row>
    <row r="9" spans="2:11" ht="21" customHeight="1" x14ac:dyDescent="0.25">
      <c r="B9" s="5">
        <f>WORKERS!B7</f>
        <v>4</v>
      </c>
      <c r="C9" s="8" t="str">
        <f>WORKERS!C7</f>
        <v>MOHITH</v>
      </c>
      <c r="D9" s="7"/>
      <c r="E9" s="7"/>
      <c r="F9" s="7"/>
      <c r="G9" s="7"/>
      <c r="H9" s="7"/>
      <c r="I9" s="7"/>
      <c r="J9" s="7"/>
      <c r="K9" s="5">
        <f>SUM(COUNTIF(D9:J9,"A") + COUNTIF(D9:J9,"B")) * WORKERS!D7</f>
        <v>0</v>
      </c>
    </row>
    <row r="10" spans="2:11" ht="21" customHeight="1" x14ac:dyDescent="0.25">
      <c r="B10" s="5">
        <f>WORKERS!B8</f>
        <v>5</v>
      </c>
      <c r="C10" s="8" t="str">
        <f>WORKERS!C8</f>
        <v>BIJAY MAJHI</v>
      </c>
      <c r="D10" s="7"/>
      <c r="E10" s="7"/>
      <c r="F10" s="7"/>
      <c r="G10" s="7"/>
      <c r="H10" s="7"/>
      <c r="I10" s="7"/>
      <c r="J10" s="7"/>
      <c r="K10" s="5">
        <f>SUM(COUNTIF(D10:J10,"A") + COUNTIF(D10:J10,"B")) * WORKERS!D8</f>
        <v>0</v>
      </c>
    </row>
    <row r="11" spans="2:11" ht="21" customHeight="1" x14ac:dyDescent="0.25">
      <c r="B11" s="5">
        <f>WORKERS!B9</f>
        <v>6</v>
      </c>
      <c r="C11" s="8" t="str">
        <f>WORKERS!C9</f>
        <v>BASANTA MAJHI</v>
      </c>
      <c r="D11" s="7"/>
      <c r="E11" s="7" t="s">
        <v>58</v>
      </c>
      <c r="F11" s="7"/>
      <c r="G11" s="7"/>
      <c r="H11" s="7"/>
      <c r="I11" s="7"/>
      <c r="J11" s="7"/>
      <c r="K11" s="5">
        <f>SUM(COUNTIF(D11:J11,"A") + COUNTIF(D11:J11,"B")) * WORKERS!D9</f>
        <v>700</v>
      </c>
    </row>
    <row r="12" spans="2:11" ht="21" customHeight="1" x14ac:dyDescent="0.25">
      <c r="B12" s="5">
        <f>WORKERS!B10</f>
        <v>7</v>
      </c>
      <c r="C12" s="8" t="str">
        <f>WORKERS!C10</f>
        <v>ROHITH MAJHI</v>
      </c>
      <c r="D12" s="7"/>
      <c r="E12" s="7" t="s">
        <v>57</v>
      </c>
      <c r="F12" s="7"/>
      <c r="G12" s="7"/>
      <c r="H12" s="7"/>
      <c r="I12" s="7"/>
      <c r="J12" s="7"/>
      <c r="K12" s="5">
        <f>SUM(COUNTIF(D12:J12,"A") + COUNTIF(D12:J12,"B")) * WORKERS!D10</f>
        <v>1200</v>
      </c>
    </row>
    <row r="13" spans="2:11" ht="21" customHeight="1" x14ac:dyDescent="0.25">
      <c r="B13" s="5">
        <f>WORKERS!B11</f>
        <v>8</v>
      </c>
      <c r="C13" s="8" t="str">
        <f>WORKERS!C11</f>
        <v>JANMENJAYA BHOI</v>
      </c>
      <c r="D13" s="7"/>
      <c r="E13" s="7" t="s">
        <v>58</v>
      </c>
      <c r="F13" s="7" t="s">
        <v>58</v>
      </c>
      <c r="G13" s="7"/>
      <c r="H13" s="7"/>
      <c r="I13" s="7"/>
      <c r="J13" s="7"/>
      <c r="K13" s="5">
        <f>SUM(COUNTIF(D13:J13,"A") + COUNTIF(D13:J13,"B")) * WORKERS!D11</f>
        <v>1400</v>
      </c>
    </row>
    <row r="14" spans="2:11" ht="21" customHeight="1" x14ac:dyDescent="0.25">
      <c r="B14" s="5">
        <f>WORKERS!B12</f>
        <v>9</v>
      </c>
      <c r="C14" s="8" t="str">
        <f>WORKERS!C12</f>
        <v>PURAUSTAM BANCHOR</v>
      </c>
      <c r="D14" s="7"/>
      <c r="E14" s="7"/>
      <c r="F14" s="7" t="s">
        <v>57</v>
      </c>
      <c r="G14" s="7"/>
      <c r="H14" s="7"/>
      <c r="I14" s="7"/>
      <c r="J14" s="7"/>
      <c r="K14" s="5">
        <f>SUM(COUNTIF(D14:J14,"A") + COUNTIF(D14:J14,"B")) * WORKERS!D12</f>
        <v>583.34</v>
      </c>
    </row>
    <row r="15" spans="2:11" ht="21" customHeight="1" x14ac:dyDescent="0.25">
      <c r="B15" s="5">
        <f>WORKERS!B13</f>
        <v>10</v>
      </c>
      <c r="C15" s="8" t="str">
        <f>WORKERS!C13</f>
        <v>THABIR GOUD</v>
      </c>
      <c r="D15" s="7"/>
      <c r="E15" s="7" t="s">
        <v>57</v>
      </c>
      <c r="F15" s="7"/>
      <c r="G15" s="7"/>
      <c r="H15" s="7"/>
      <c r="I15" s="7"/>
      <c r="J15" s="7"/>
      <c r="K15" s="5">
        <f>SUM(COUNTIF(D15:J15,"A") + COUNTIF(D15:J15,"B")) * WORKERS!D13</f>
        <v>583.34</v>
      </c>
    </row>
    <row r="16" spans="2:11" ht="21" customHeight="1" x14ac:dyDescent="0.25">
      <c r="B16" s="5">
        <f>WORKERS!B14</f>
        <v>11</v>
      </c>
      <c r="C16" s="8" t="str">
        <f>WORKERS!C14</f>
        <v>SARATH</v>
      </c>
      <c r="D16" s="7"/>
      <c r="E16" s="7"/>
      <c r="F16" s="7"/>
      <c r="G16" s="7"/>
      <c r="H16" s="7"/>
      <c r="I16" s="7"/>
      <c r="J16" s="7"/>
      <c r="K16" s="5">
        <f>SUM(COUNTIF(D16:J16,"A") + COUNTIF(D16:J16,"B")) * WORKERS!D14</f>
        <v>0</v>
      </c>
    </row>
    <row r="17" spans="2:11" ht="21" customHeight="1" x14ac:dyDescent="0.25">
      <c r="B17" s="5">
        <f>WORKERS!B15</f>
        <v>12</v>
      </c>
      <c r="C17" s="8" t="str">
        <f>WORKERS!C15</f>
        <v>ANIL MAJHI</v>
      </c>
      <c r="D17" s="7"/>
      <c r="E17" s="7"/>
      <c r="F17" s="7"/>
      <c r="G17" s="7"/>
      <c r="H17" s="7"/>
      <c r="I17" s="7"/>
      <c r="J17" s="7"/>
      <c r="K17" s="5">
        <f>SUM(COUNTIF(D17:J17,"A") + COUNTIF(D17:J17,"B")) * WORKERS!D15</f>
        <v>0</v>
      </c>
    </row>
    <row r="18" spans="2:11" ht="21" customHeight="1" x14ac:dyDescent="0.25">
      <c r="B18" s="5">
        <f>WORKERS!B16</f>
        <v>13</v>
      </c>
      <c r="C18" s="8" t="str">
        <f>WORKERS!C16</f>
        <v>RASIKA GOUD</v>
      </c>
      <c r="D18" s="7"/>
      <c r="E18" s="7"/>
      <c r="F18" s="7"/>
      <c r="G18" s="7"/>
      <c r="H18" s="7"/>
      <c r="I18" s="7"/>
      <c r="J18" s="7"/>
      <c r="K18" s="5">
        <f>SUM(COUNTIF(D18:J18,"A") + COUNTIF(D18:J18,"B")) * WORKERS!D16</f>
        <v>0</v>
      </c>
    </row>
    <row r="19" spans="2:11" ht="21" customHeight="1" x14ac:dyDescent="0.25">
      <c r="B19" s="5">
        <f>WORKERS!B17</f>
        <v>14</v>
      </c>
      <c r="C19" s="8" t="str">
        <f>WORKERS!C17</f>
        <v>PARMANANDA BANCHOR</v>
      </c>
      <c r="D19" s="7"/>
      <c r="E19" s="7"/>
      <c r="F19" s="7"/>
      <c r="G19" s="7"/>
      <c r="H19" s="7"/>
      <c r="I19" s="7"/>
      <c r="J19" s="7"/>
      <c r="K19" s="5">
        <f>SUM(COUNTIF(D19:J19,"A") + COUNTIF(D19:J19,"B")) * WORKERS!D17</f>
        <v>0</v>
      </c>
    </row>
    <row r="20" spans="2:11" ht="21" customHeight="1" x14ac:dyDescent="0.25">
      <c r="B20" s="5">
        <f>WORKERS!B18</f>
        <v>15</v>
      </c>
      <c r="C20" s="8" t="str">
        <f>WORKERS!C18</f>
        <v>LINGRAJ PODH</v>
      </c>
      <c r="D20" s="7"/>
      <c r="E20" s="7"/>
      <c r="F20" s="7"/>
      <c r="G20" s="7"/>
      <c r="H20" s="7"/>
      <c r="I20" s="7"/>
      <c r="J20" s="7"/>
      <c r="K20" s="5">
        <f>SUM(COUNTIF(D20:J20,"A") + COUNTIF(D20:J20,"B")) * WORKERS!D18</f>
        <v>0</v>
      </c>
    </row>
    <row r="21" spans="2:11" ht="21" customHeight="1" x14ac:dyDescent="0.25">
      <c r="B21" s="5">
        <f>WORKERS!B19</f>
        <v>16</v>
      </c>
      <c r="C21" s="8" t="str">
        <f>WORKERS!C19</f>
        <v>RAMAKANTA BANCHOR</v>
      </c>
      <c r="D21" s="7"/>
      <c r="E21" s="7"/>
      <c r="F21" s="7"/>
      <c r="G21" s="7"/>
      <c r="H21" s="7"/>
      <c r="I21" s="7"/>
      <c r="J21" s="7"/>
      <c r="K21" s="5">
        <f>SUM(COUNTIF(D21:J21,"A") + COUNTIF(D21:J21,"B")) * WORKERS!D19</f>
        <v>0</v>
      </c>
    </row>
    <row r="22" spans="2:11" ht="21" customHeight="1" x14ac:dyDescent="0.25">
      <c r="B22" s="5">
        <f>WORKERS!B20</f>
        <v>17</v>
      </c>
      <c r="C22" s="8" t="str">
        <f>WORKERS!C20</f>
        <v>RUSHIBHOI</v>
      </c>
      <c r="D22" s="7"/>
      <c r="E22" s="7"/>
      <c r="F22" s="7"/>
      <c r="G22" s="7"/>
      <c r="H22" s="7"/>
      <c r="I22" s="7"/>
      <c r="J22" s="7"/>
      <c r="K22" s="5">
        <f>SUM(COUNTIF(D22:J22,"A") + COUNTIF(D22:J22,"B")) * WORKERS!D20</f>
        <v>0</v>
      </c>
    </row>
    <row r="23" spans="2:11" ht="21" customHeight="1" x14ac:dyDescent="0.25">
      <c r="B23" s="5">
        <f>WORKERS!B21</f>
        <v>18</v>
      </c>
      <c r="C23" s="8" t="str">
        <f>WORKERS!C21</f>
        <v>VIJAY BHOI</v>
      </c>
      <c r="D23" s="7"/>
      <c r="E23" s="7"/>
      <c r="F23" s="7"/>
      <c r="G23" s="7"/>
      <c r="H23" s="7"/>
      <c r="I23" s="7"/>
      <c r="J23" s="7"/>
      <c r="K23" s="5">
        <f>SUM(COUNTIF(D23:J23,"A") + COUNTIF(D23:J23,"B")) * WORKERS!D21</f>
        <v>0</v>
      </c>
    </row>
    <row r="24" spans="2:11" ht="21" customHeight="1" x14ac:dyDescent="0.25">
      <c r="B24" s="5">
        <f>WORKERS!B22</f>
        <v>19</v>
      </c>
      <c r="C24" s="8" t="str">
        <f>WORKERS!C22</f>
        <v>JAGATHRAY KANTERI</v>
      </c>
      <c r="D24" s="7"/>
      <c r="E24" s="7"/>
      <c r="F24" s="7"/>
      <c r="G24" s="7"/>
      <c r="H24" s="7"/>
      <c r="I24" s="7"/>
      <c r="J24" s="7"/>
      <c r="K24" s="5">
        <f>SUM(COUNTIF(D24:J24,"A") + COUNTIF(D24:J24,"B")) * WORKERS!D22</f>
        <v>0</v>
      </c>
    </row>
    <row r="25" spans="2:11" ht="21" customHeight="1" x14ac:dyDescent="0.25">
      <c r="B25" s="5">
        <f>WORKERS!B23</f>
        <v>20</v>
      </c>
      <c r="C25" s="8" t="str">
        <f>WORKERS!C23</f>
        <v>KAILASH</v>
      </c>
      <c r="D25" s="7"/>
      <c r="E25" s="7"/>
      <c r="F25" s="7"/>
      <c r="G25" s="7"/>
      <c r="H25" s="7"/>
      <c r="I25" s="7"/>
      <c r="J25" s="7"/>
      <c r="K25" s="5">
        <f>SUM(COUNTIF(D25:J25,"A") + COUNTIF(D25:J25,"B")) * WORKERS!D23</f>
        <v>0</v>
      </c>
    </row>
    <row r="26" spans="2:11" ht="21" customHeight="1" x14ac:dyDescent="0.25">
      <c r="B26" s="5">
        <f>WORKERS!B24</f>
        <v>21</v>
      </c>
      <c r="C26" s="8" t="str">
        <f>WORKERS!C24</f>
        <v>PRASHANTH</v>
      </c>
      <c r="D26" s="7"/>
      <c r="E26" s="7"/>
      <c r="F26" s="7"/>
      <c r="G26" s="7"/>
      <c r="H26" s="7"/>
      <c r="I26" s="7"/>
      <c r="J26" s="7"/>
      <c r="K26" s="5">
        <f>SUM(COUNTIF(D26:J26,"A") + COUNTIF(D26:J26,"B")) * WORKERS!D24</f>
        <v>0</v>
      </c>
    </row>
    <row r="27" spans="2:11" ht="21" customHeight="1" x14ac:dyDescent="0.25">
      <c r="B27" s="5">
        <f>WORKERS!B25</f>
        <v>22</v>
      </c>
      <c r="C27" s="8" t="str">
        <f>WORKERS!C25</f>
        <v>KESAV TILI</v>
      </c>
      <c r="D27" s="7"/>
      <c r="E27" s="7"/>
      <c r="F27" s="7"/>
      <c r="G27" s="7"/>
      <c r="H27" s="7"/>
      <c r="I27" s="7"/>
      <c r="J27" s="7"/>
      <c r="K27" s="5">
        <f>SUM(COUNTIF(D27:J27,"A") + COUNTIF(D27:J27,"B")) * WORKERS!D25</f>
        <v>0</v>
      </c>
    </row>
    <row r="28" spans="2:11" ht="21" customHeight="1" x14ac:dyDescent="0.25">
      <c r="B28" s="5">
        <f>WORKERS!B26</f>
        <v>23</v>
      </c>
      <c r="C28" s="8" t="str">
        <f>WORKERS!C26</f>
        <v xml:space="preserve">JAGADISH </v>
      </c>
      <c r="D28" s="7"/>
      <c r="E28" s="7"/>
      <c r="F28" s="7"/>
      <c r="G28" s="7"/>
      <c r="H28" s="7"/>
      <c r="I28" s="7"/>
      <c r="J28" s="7"/>
      <c r="K28" s="5">
        <f>SUM(COUNTIF(D28:J28,"A") + COUNTIF(D28:J28,"B")) * WORKERS!D26</f>
        <v>0</v>
      </c>
    </row>
    <row r="29" spans="2:11" ht="21" customHeight="1" x14ac:dyDescent="0.25">
      <c r="B29" s="5">
        <f>WORKERS!B27</f>
        <v>24</v>
      </c>
      <c r="C29" s="8" t="str">
        <f>WORKERS!C27</f>
        <v>LAXMIDHAR DORA</v>
      </c>
      <c r="D29" s="7"/>
      <c r="E29" s="7"/>
      <c r="F29" s="7"/>
      <c r="G29" s="7"/>
      <c r="H29" s="7"/>
      <c r="I29" s="7"/>
      <c r="J29" s="7"/>
      <c r="K29" s="5">
        <f>SUM(COUNTIF(D29:J29,"A") + COUNTIF(D29:J29,"B")) * WORKERS!D27</f>
        <v>0</v>
      </c>
    </row>
    <row r="30" spans="2:11" ht="21" customHeight="1" x14ac:dyDescent="0.25">
      <c r="B30" s="5">
        <f>WORKERS!B28</f>
        <v>25</v>
      </c>
      <c r="C30" s="8" t="str">
        <f>WORKERS!C28</f>
        <v>ANAND</v>
      </c>
      <c r="D30" s="7"/>
      <c r="E30" s="7"/>
      <c r="F30" s="7"/>
      <c r="G30" s="7"/>
      <c r="H30" s="7"/>
      <c r="I30" s="7"/>
      <c r="J30" s="7"/>
      <c r="K30" s="5">
        <f>SUM(COUNTIF(D30:J30,"A") + COUNTIF(D30:J30,"B")) * WORKERS!D28</f>
        <v>0</v>
      </c>
    </row>
    <row r="31" spans="2:11" ht="21" customHeight="1" x14ac:dyDescent="0.25">
      <c r="B31" s="5">
        <f>WORKERS!B29</f>
        <v>26</v>
      </c>
      <c r="C31" s="8" t="str">
        <f>WORKERS!C29</f>
        <v>TRILOCHAN</v>
      </c>
      <c r="D31" s="7"/>
      <c r="E31" s="7"/>
      <c r="F31" s="7"/>
      <c r="G31" s="7"/>
      <c r="H31" s="7"/>
      <c r="I31" s="7"/>
      <c r="J31" s="7"/>
      <c r="K31" s="5">
        <f>SUM(COUNTIF(D31:J31,"A") + COUNTIF(D31:J31,"B")) * WORKERS!D29</f>
        <v>0</v>
      </c>
    </row>
    <row r="32" spans="2:11" ht="21" customHeight="1" x14ac:dyDescent="0.25">
      <c r="B32" s="5">
        <f>WORKERS!B30</f>
        <v>27</v>
      </c>
      <c r="C32" s="8" t="str">
        <f>WORKERS!C30</f>
        <v>GULUK VRYANG</v>
      </c>
      <c r="D32" s="7"/>
      <c r="E32" s="7"/>
      <c r="F32" s="7"/>
      <c r="G32" s="7"/>
      <c r="H32" s="7"/>
      <c r="I32" s="7"/>
      <c r="J32" s="7"/>
      <c r="K32" s="5">
        <f>SUM(COUNTIF(D32:J32,"A") + COUNTIF(D32:J32,"B")) * WORKERS!D30</f>
        <v>0</v>
      </c>
    </row>
    <row r="33" spans="2:11" ht="21" customHeight="1" x14ac:dyDescent="0.25">
      <c r="B33" s="5">
        <f>WORKERS!B31</f>
        <v>28</v>
      </c>
      <c r="C33" s="8" t="str">
        <f>WORKERS!C31</f>
        <v>BALABHADRA DORA</v>
      </c>
      <c r="D33" s="7"/>
      <c r="E33" s="7"/>
      <c r="F33" s="7"/>
      <c r="G33" s="7"/>
      <c r="H33" s="7"/>
      <c r="I33" s="7"/>
      <c r="J33" s="7"/>
      <c r="K33" s="5">
        <f>SUM(COUNTIF(D33:J33,"A") + COUNTIF(D33:J33,"B")) * WORKERS!D31</f>
        <v>0</v>
      </c>
    </row>
    <row r="34" spans="2:11" ht="21" customHeight="1" x14ac:dyDescent="0.25">
      <c r="B34" s="5">
        <f>WORKERS!B32</f>
        <v>29</v>
      </c>
      <c r="C34" s="8" t="str">
        <f>WORKERS!C32</f>
        <v>RANJITH</v>
      </c>
      <c r="D34" s="7"/>
      <c r="E34" s="7"/>
      <c r="F34" s="7"/>
      <c r="G34" s="7"/>
      <c r="H34" s="7"/>
      <c r="I34" s="7"/>
      <c r="J34" s="7"/>
      <c r="K34" s="5">
        <f>SUM(COUNTIF(D34:J34,"A") + COUNTIF(D34:J34,"B")) * WORKERS!D32</f>
        <v>0</v>
      </c>
    </row>
    <row r="35" spans="2:11" ht="21" customHeight="1" x14ac:dyDescent="0.25">
      <c r="B35" s="5">
        <f>WORKERS!B33</f>
        <v>30</v>
      </c>
      <c r="C35" s="8" t="str">
        <f>WORKERS!C33</f>
        <v>JAGADISH DORA</v>
      </c>
      <c r="D35" s="7"/>
      <c r="E35" s="7"/>
      <c r="F35" s="7"/>
      <c r="G35" s="7"/>
      <c r="H35" s="7"/>
      <c r="I35" s="7"/>
      <c r="J35" s="7"/>
      <c r="K35" s="5">
        <f>SUM(COUNTIF(D35:J35,"A") + COUNTIF(D35:J35,"B")) * WORKERS!D33</f>
        <v>0</v>
      </c>
    </row>
    <row r="36" spans="2:11" ht="21" customHeight="1" x14ac:dyDescent="0.25">
      <c r="B36" s="5">
        <f>WORKERS!B34</f>
        <v>31</v>
      </c>
      <c r="C36" s="8" t="str">
        <f>WORKERS!C34</f>
        <v>MUNNA</v>
      </c>
      <c r="D36" s="7"/>
      <c r="E36" s="7"/>
      <c r="F36" s="7"/>
      <c r="G36" s="7"/>
      <c r="H36" s="7"/>
      <c r="I36" s="7"/>
      <c r="J36" s="7"/>
      <c r="K36" s="5">
        <f>SUM(COUNTIF(D36:J36,"A") + COUNTIF(D36:J36,"B")) * WORKERS!D34</f>
        <v>0</v>
      </c>
    </row>
    <row r="37" spans="2:11" ht="21" customHeight="1" x14ac:dyDescent="0.25">
      <c r="B37" s="5">
        <f>WORKERS!B35</f>
        <v>32</v>
      </c>
      <c r="C37" s="8" t="str">
        <f>WORKERS!C35</f>
        <v>DEVI</v>
      </c>
      <c r="D37" s="7"/>
      <c r="E37" s="7"/>
      <c r="F37" s="7"/>
      <c r="G37" s="7"/>
      <c r="H37" s="7"/>
      <c r="I37" s="7"/>
      <c r="J37" s="7"/>
      <c r="K37" s="5">
        <f>SUM(COUNTIF(D37:J37,"A") + COUNTIF(D37:J37,"B")) * WORKERS!D35</f>
        <v>0</v>
      </c>
    </row>
    <row r="38" spans="2:11" ht="21" customHeight="1" x14ac:dyDescent="0.25">
      <c r="B38" s="5">
        <f>WORKERS!B36</f>
        <v>33</v>
      </c>
      <c r="C38" s="8" t="str">
        <f>WORKERS!C36</f>
        <v>KONDAMMA</v>
      </c>
      <c r="D38" s="7"/>
      <c r="E38" s="7"/>
      <c r="F38" s="7"/>
      <c r="G38" s="7"/>
      <c r="H38" s="7"/>
      <c r="I38" s="7"/>
      <c r="J38" s="7"/>
      <c r="K38" s="5">
        <f>SUM(COUNTIF(D38:J38,"A") + COUNTIF(D38:J38,"B")) * WORKERS!D36</f>
        <v>0</v>
      </c>
    </row>
    <row r="39" spans="2:11" ht="21" customHeight="1" x14ac:dyDescent="0.25">
      <c r="B39" s="5">
        <f>WORKERS!B37</f>
        <v>34</v>
      </c>
      <c r="C39" s="8" t="str">
        <f>WORKERS!C37</f>
        <v>YERNAMMA</v>
      </c>
      <c r="D39" s="7"/>
      <c r="E39" s="7"/>
      <c r="F39" s="7"/>
      <c r="G39" s="7"/>
      <c r="H39" s="7"/>
      <c r="I39" s="7"/>
      <c r="J39" s="7"/>
      <c r="K39" s="5">
        <f>SUM(COUNTIF(D39:J39,"A") + COUNTIF(D39:J39,"B")) * WORKERS!D37</f>
        <v>0</v>
      </c>
    </row>
    <row r="40" spans="2:11" ht="21" customHeight="1" x14ac:dyDescent="0.25">
      <c r="B40" s="5">
        <f>WORKERS!B38</f>
        <v>35</v>
      </c>
      <c r="C40" s="8" t="str">
        <f>WORKERS!C38</f>
        <v>RAJENDRA DORA</v>
      </c>
      <c r="D40" s="7"/>
      <c r="E40" s="7"/>
      <c r="F40" s="7"/>
      <c r="G40" s="7"/>
      <c r="H40" s="7"/>
      <c r="I40" s="7"/>
      <c r="J40" s="7"/>
      <c r="K40" s="5">
        <f>SUM(COUNTIF(D40:J40,"A") + COUNTIF(D40:J40,"B")) * WORKERS!D38</f>
        <v>0</v>
      </c>
    </row>
    <row r="41" spans="2:11" ht="21" hidden="1" customHeight="1" x14ac:dyDescent="0.25">
      <c r="B41" s="5">
        <f>WORKERS!B39</f>
        <v>0</v>
      </c>
      <c r="C41" s="8">
        <f>WORKERS!C39</f>
        <v>0</v>
      </c>
      <c r="D41" s="7"/>
      <c r="E41" s="7"/>
      <c r="F41" s="7"/>
      <c r="G41" s="7"/>
      <c r="H41" s="7"/>
      <c r="I41" s="7"/>
      <c r="J41" s="7"/>
      <c r="K41" s="5">
        <f>SUM(COUNTIF(D41:J41,"A") + COUNTIF(D41:J41,"B")) * WORKERS!D39</f>
        <v>0</v>
      </c>
    </row>
    <row r="42" spans="2:11" ht="21" hidden="1" customHeight="1" x14ac:dyDescent="0.25">
      <c r="B42" s="5">
        <f>WORKERS!B40</f>
        <v>0</v>
      </c>
      <c r="C42" s="8">
        <f>WORKERS!C40</f>
        <v>0</v>
      </c>
      <c r="D42" s="7"/>
      <c r="E42" s="7"/>
      <c r="F42" s="7"/>
      <c r="G42" s="7"/>
      <c r="H42" s="7"/>
      <c r="I42" s="7"/>
      <c r="J42" s="7"/>
      <c r="K42" s="5">
        <f>SUM(COUNTIF(D42:J42,"A") + COUNTIF(D42:J42,"B")) * WORKERS!D40</f>
        <v>0</v>
      </c>
    </row>
    <row r="43" spans="2:11" ht="21" hidden="1" customHeight="1" x14ac:dyDescent="0.25">
      <c r="B43" s="5">
        <f>WORKERS!B41</f>
        <v>0</v>
      </c>
      <c r="C43" s="8">
        <f>WORKERS!C41</f>
        <v>0</v>
      </c>
      <c r="D43" s="7"/>
      <c r="E43" s="7"/>
      <c r="F43" s="7"/>
      <c r="G43" s="7"/>
      <c r="H43" s="7"/>
      <c r="I43" s="7"/>
      <c r="J43" s="7"/>
      <c r="K43" s="5">
        <f>SUM(COUNTIF(D43:J43,"A") + COUNTIF(D43:J43,"B")) * WORKERS!D41</f>
        <v>0</v>
      </c>
    </row>
    <row r="44" spans="2:11" ht="21" hidden="1" customHeight="1" x14ac:dyDescent="0.25">
      <c r="B44" s="5">
        <f>WORKERS!B42</f>
        <v>0</v>
      </c>
      <c r="C44" s="8">
        <f>WORKERS!C42</f>
        <v>0</v>
      </c>
      <c r="D44" s="7"/>
      <c r="E44" s="7"/>
      <c r="F44" s="7"/>
      <c r="G44" s="7"/>
      <c r="H44" s="7"/>
      <c r="I44" s="7"/>
      <c r="J44" s="7"/>
      <c r="K44" s="5">
        <f>SUM(COUNTIF(D44:J44,"A") + COUNTIF(D44:J44,"B")) * WORKERS!D42</f>
        <v>0</v>
      </c>
    </row>
    <row r="45" spans="2:11" ht="21" hidden="1" customHeight="1" x14ac:dyDescent="0.25">
      <c r="B45" s="5">
        <f>WORKERS!B43</f>
        <v>0</v>
      </c>
      <c r="C45" s="8">
        <f>WORKERS!C43</f>
        <v>0</v>
      </c>
      <c r="D45" s="7"/>
      <c r="E45" s="7"/>
      <c r="F45" s="7"/>
      <c r="G45" s="7"/>
      <c r="H45" s="7"/>
      <c r="I45" s="7"/>
      <c r="J45" s="7"/>
      <c r="K45" s="5">
        <f>SUM(COUNTIF(D45:J45,"A") + COUNTIF(D45:J45,"B")) * WORKERS!D43</f>
        <v>0</v>
      </c>
    </row>
    <row r="46" spans="2:11" ht="21" hidden="1" customHeight="1" x14ac:dyDescent="0.25">
      <c r="B46" s="5">
        <f>WORKERS!B44</f>
        <v>0</v>
      </c>
      <c r="C46" s="8">
        <f>WORKERS!C44</f>
        <v>0</v>
      </c>
      <c r="D46" s="7"/>
      <c r="E46" s="7"/>
      <c r="F46" s="7"/>
      <c r="G46" s="7"/>
      <c r="H46" s="7"/>
      <c r="I46" s="7"/>
      <c r="J46" s="7"/>
      <c r="K46" s="5">
        <f>SUM(COUNTIF(D46:J46,"A") + COUNTIF(D46:J46,"B")) * WORKERS!D44</f>
        <v>0</v>
      </c>
    </row>
    <row r="47" spans="2:11" ht="21" hidden="1" customHeight="1" x14ac:dyDescent="0.25">
      <c r="B47" s="5">
        <f>WORKERS!B45</f>
        <v>0</v>
      </c>
      <c r="C47" s="8">
        <f>WORKERS!C45</f>
        <v>0</v>
      </c>
      <c r="D47" s="7"/>
      <c r="E47" s="7"/>
      <c r="F47" s="7"/>
      <c r="G47" s="7"/>
      <c r="H47" s="7"/>
      <c r="I47" s="7"/>
      <c r="J47" s="7"/>
      <c r="K47" s="5">
        <f>SUM(COUNTIF(D47:J47,"A") + COUNTIF(D47:J47,"B")) * WORKERS!D45</f>
        <v>0</v>
      </c>
    </row>
    <row r="48" spans="2:11" ht="21" hidden="1" customHeight="1" x14ac:dyDescent="0.25">
      <c r="B48" s="5">
        <f>WORKERS!B46</f>
        <v>0</v>
      </c>
      <c r="C48" s="8">
        <f>WORKERS!C46</f>
        <v>0</v>
      </c>
      <c r="D48" s="7"/>
      <c r="E48" s="7"/>
      <c r="F48" s="7"/>
      <c r="G48" s="7"/>
      <c r="H48" s="7"/>
      <c r="I48" s="7"/>
      <c r="J48" s="7"/>
      <c r="K48" s="5">
        <f>SUM(COUNTIF(D48:J48,"A") + COUNTIF(D48:J48,"B")) * WORKERS!D46</f>
        <v>0</v>
      </c>
    </row>
    <row r="49" spans="2:11" ht="21" hidden="1" customHeight="1" x14ac:dyDescent="0.25">
      <c r="B49" s="5">
        <f>WORKERS!B47</f>
        <v>0</v>
      </c>
      <c r="C49" s="8">
        <f>WORKERS!C47</f>
        <v>0</v>
      </c>
      <c r="D49" s="7"/>
      <c r="E49" s="7"/>
      <c r="F49" s="7"/>
      <c r="G49" s="7"/>
      <c r="H49" s="7"/>
      <c r="I49" s="7"/>
      <c r="J49" s="7"/>
      <c r="K49" s="5">
        <f>SUM(COUNTIF(D49:J49,"A") + COUNTIF(D49:J49,"B")) * WORKERS!D47</f>
        <v>0</v>
      </c>
    </row>
    <row r="50" spans="2:11" ht="21" hidden="1" customHeight="1" x14ac:dyDescent="0.25">
      <c r="B50" s="5">
        <f>WORKERS!B48</f>
        <v>0</v>
      </c>
      <c r="C50" s="8">
        <f>WORKERS!C48</f>
        <v>0</v>
      </c>
      <c r="D50" s="7"/>
      <c r="E50" s="7"/>
      <c r="F50" s="7"/>
      <c r="G50" s="7"/>
      <c r="H50" s="7"/>
      <c r="I50" s="7"/>
      <c r="J50" s="7"/>
      <c r="K50" s="5">
        <f>SUM(COUNTIF(D50:J50,"A") + COUNTIF(D50:J50,"B")) * WORKERS!D48</f>
        <v>0</v>
      </c>
    </row>
    <row r="51" spans="2:11" ht="21" hidden="1" customHeight="1" x14ac:dyDescent="0.25">
      <c r="B51" s="5">
        <f>WORKERS!B49</f>
        <v>0</v>
      </c>
      <c r="C51" s="8">
        <f>WORKERS!C49</f>
        <v>0</v>
      </c>
      <c r="D51" s="7"/>
      <c r="E51" s="7"/>
      <c r="F51" s="7"/>
      <c r="G51" s="7"/>
      <c r="H51" s="7"/>
      <c r="I51" s="7"/>
      <c r="J51" s="7"/>
      <c r="K51" s="5">
        <f>SUM(COUNTIF(D51:J51,"A") + COUNTIF(D51:J51,"B")) * WORKERS!D49</f>
        <v>0</v>
      </c>
    </row>
    <row r="52" spans="2:11" ht="21" hidden="1" customHeight="1" x14ac:dyDescent="0.25">
      <c r="B52" s="5">
        <f>WORKERS!B50</f>
        <v>0</v>
      </c>
      <c r="C52" s="8">
        <f>WORKERS!C50</f>
        <v>0</v>
      </c>
      <c r="D52" s="7"/>
      <c r="E52" s="7"/>
      <c r="F52" s="7"/>
      <c r="G52" s="7"/>
      <c r="H52" s="7"/>
      <c r="I52" s="7"/>
      <c r="J52" s="7"/>
      <c r="K52" s="5">
        <f>SUM(COUNTIF(D52:J52,"A") + COUNTIF(D52:J52,"B")) * WORKERS!D50</f>
        <v>0</v>
      </c>
    </row>
    <row r="53" spans="2:11" ht="21" hidden="1" customHeight="1" x14ac:dyDescent="0.25">
      <c r="B53" s="5">
        <f>WORKERS!B51</f>
        <v>0</v>
      </c>
      <c r="C53" s="8">
        <f>WORKERS!C51</f>
        <v>0</v>
      </c>
      <c r="D53" s="7"/>
      <c r="E53" s="7"/>
      <c r="F53" s="7"/>
      <c r="G53" s="7"/>
      <c r="H53" s="7"/>
      <c r="I53" s="7"/>
      <c r="J53" s="7"/>
      <c r="K53" s="5">
        <f>SUM(COUNTIF(D53:J53,"A") + COUNTIF(D53:J53,"B")) * WORKERS!D51</f>
        <v>0</v>
      </c>
    </row>
    <row r="54" spans="2:11" ht="21" hidden="1" customHeight="1" x14ac:dyDescent="0.25">
      <c r="B54" s="5">
        <f>WORKERS!B52</f>
        <v>0</v>
      </c>
      <c r="C54" s="8">
        <f>WORKERS!C52</f>
        <v>0</v>
      </c>
      <c r="D54" s="7"/>
      <c r="E54" s="7"/>
      <c r="F54" s="7"/>
      <c r="G54" s="7"/>
      <c r="H54" s="7"/>
      <c r="I54" s="7"/>
      <c r="J54" s="7"/>
      <c r="K54" s="5">
        <f>SUM(COUNTIF(D54:J54,"A") + COUNTIF(D54:J54,"B")) * WORKERS!D52</f>
        <v>0</v>
      </c>
    </row>
    <row r="55" spans="2:11" ht="21" hidden="1" customHeight="1" x14ac:dyDescent="0.25">
      <c r="B55" s="5">
        <f>WORKERS!B53</f>
        <v>0</v>
      </c>
      <c r="C55" s="8">
        <f>WORKERS!C53</f>
        <v>0</v>
      </c>
      <c r="D55" s="7"/>
      <c r="E55" s="7"/>
      <c r="F55" s="7"/>
      <c r="G55" s="7"/>
      <c r="H55" s="7"/>
      <c r="I55" s="7"/>
      <c r="J55" s="7"/>
      <c r="K55" s="5">
        <f>SUM(COUNTIF(D55:J55,"A") + COUNTIF(D55:J55,"B")) * WORKERS!D53</f>
        <v>0</v>
      </c>
    </row>
    <row r="56" spans="2:11" ht="21" hidden="1" customHeight="1" x14ac:dyDescent="0.25">
      <c r="B56" s="5">
        <f>WORKERS!B54</f>
        <v>0</v>
      </c>
      <c r="C56" s="8">
        <f>WORKERS!C54</f>
        <v>0</v>
      </c>
      <c r="D56" s="7"/>
      <c r="E56" s="7"/>
      <c r="F56" s="7"/>
      <c r="G56" s="7"/>
      <c r="H56" s="7"/>
      <c r="I56" s="7"/>
      <c r="J56" s="7"/>
      <c r="K56" s="5">
        <f>SUM(COUNTIF(D56:J56,"A") + COUNTIF(D56:J56,"B")) * WORKERS!D54</f>
        <v>0</v>
      </c>
    </row>
    <row r="57" spans="2:11" ht="21" hidden="1" customHeight="1" x14ac:dyDescent="0.25">
      <c r="B57" s="5">
        <f>WORKERS!B55</f>
        <v>0</v>
      </c>
      <c r="C57" s="8">
        <f>WORKERS!C55</f>
        <v>0</v>
      </c>
      <c r="D57" s="7"/>
      <c r="E57" s="7"/>
      <c r="F57" s="7"/>
      <c r="G57" s="7"/>
      <c r="H57" s="7"/>
      <c r="I57" s="7"/>
      <c r="J57" s="7"/>
      <c r="K57" s="5">
        <f>SUM(COUNTIF(D57:J57,"A") + COUNTIF(D57:J57,"B")) * WORKERS!D55</f>
        <v>0</v>
      </c>
    </row>
    <row r="58" spans="2:11" ht="21" hidden="1" customHeight="1" x14ac:dyDescent="0.25">
      <c r="B58" s="5">
        <f>WORKERS!B56</f>
        <v>0</v>
      </c>
      <c r="C58" s="8">
        <f>WORKERS!C56</f>
        <v>0</v>
      </c>
      <c r="D58" s="7"/>
      <c r="E58" s="7"/>
      <c r="F58" s="7"/>
      <c r="G58" s="7"/>
      <c r="H58" s="7"/>
      <c r="I58" s="7"/>
      <c r="J58" s="7"/>
      <c r="K58" s="5">
        <f>SUM(COUNTIF(D58:J58,"A") + COUNTIF(D58:J58,"B")) * WORKERS!D56</f>
        <v>0</v>
      </c>
    </row>
    <row r="59" spans="2:11" ht="21" hidden="1" customHeight="1" x14ac:dyDescent="0.25">
      <c r="B59" s="5">
        <f>WORKERS!B57</f>
        <v>0</v>
      </c>
      <c r="C59" s="8">
        <f>WORKERS!C57</f>
        <v>0</v>
      </c>
      <c r="D59" s="7"/>
      <c r="E59" s="7"/>
      <c r="F59" s="7"/>
      <c r="G59" s="7"/>
      <c r="H59" s="7"/>
      <c r="I59" s="7"/>
      <c r="J59" s="7"/>
      <c r="K59" s="5">
        <f>SUM(COUNTIF(D59:J59,"A") + COUNTIF(D59:J59,"B")) * WORKERS!D57</f>
        <v>0</v>
      </c>
    </row>
    <row r="60" spans="2:11" ht="21" hidden="1" customHeight="1" x14ac:dyDescent="0.25">
      <c r="B60" s="5">
        <f>WORKERS!B58</f>
        <v>0</v>
      </c>
      <c r="C60" s="8">
        <f>WORKERS!C58</f>
        <v>0</v>
      </c>
      <c r="D60" s="7"/>
      <c r="E60" s="7"/>
      <c r="F60" s="7"/>
      <c r="G60" s="7"/>
      <c r="H60" s="7"/>
      <c r="I60" s="7"/>
      <c r="J60" s="7"/>
      <c r="K60" s="5">
        <f>SUM(COUNTIF(D60:J60,"A") + COUNTIF(D60:J60,"B")) * WORKERS!D58</f>
        <v>0</v>
      </c>
    </row>
    <row r="61" spans="2:11" ht="21" hidden="1" customHeight="1" x14ac:dyDescent="0.25">
      <c r="B61" s="5">
        <f>WORKERS!B59</f>
        <v>0</v>
      </c>
      <c r="C61" s="8">
        <f>WORKERS!C59</f>
        <v>0</v>
      </c>
      <c r="D61" s="7"/>
      <c r="E61" s="7"/>
      <c r="F61" s="7"/>
      <c r="G61" s="7"/>
      <c r="H61" s="7"/>
      <c r="I61" s="7"/>
      <c r="J61" s="7"/>
      <c r="K61" s="5">
        <f>SUM(COUNTIF(D61:J61,"A") + COUNTIF(D61:J61,"B")) * WORKERS!D59</f>
        <v>0</v>
      </c>
    </row>
    <row r="62" spans="2:11" ht="21" hidden="1" customHeight="1" x14ac:dyDescent="0.25">
      <c r="B62" s="5">
        <f>WORKERS!B60</f>
        <v>0</v>
      </c>
      <c r="C62" s="8">
        <f>WORKERS!C60</f>
        <v>0</v>
      </c>
      <c r="D62" s="7"/>
      <c r="E62" s="7"/>
      <c r="F62" s="7"/>
      <c r="G62" s="7"/>
      <c r="H62" s="7"/>
      <c r="I62" s="7"/>
      <c r="J62" s="7"/>
      <c r="K62" s="5">
        <f>SUM(COUNTIF(D62:J62,"A") + COUNTIF(D62:J62,"B")) * WORKERS!D60</f>
        <v>0</v>
      </c>
    </row>
    <row r="63" spans="2:11" ht="21" hidden="1" customHeight="1" x14ac:dyDescent="0.25">
      <c r="B63" s="5">
        <f>WORKERS!B61</f>
        <v>0</v>
      </c>
      <c r="C63" s="8">
        <f>WORKERS!C61</f>
        <v>0</v>
      </c>
      <c r="D63" s="7"/>
      <c r="E63" s="7"/>
      <c r="F63" s="7"/>
      <c r="G63" s="7"/>
      <c r="H63" s="7"/>
      <c r="I63" s="7"/>
      <c r="J63" s="7"/>
      <c r="K63" s="5">
        <f>SUM(COUNTIF(D63:J63,"A") + COUNTIF(D63:J63,"B")) * WORKERS!D61</f>
        <v>0</v>
      </c>
    </row>
    <row r="64" spans="2:11" ht="21" hidden="1" customHeight="1" x14ac:dyDescent="0.25">
      <c r="B64" s="5">
        <f>WORKERS!B62</f>
        <v>0</v>
      </c>
      <c r="C64" s="8">
        <f>WORKERS!C62</f>
        <v>0</v>
      </c>
      <c r="D64" s="7"/>
      <c r="E64" s="7"/>
      <c r="F64" s="7"/>
      <c r="G64" s="7"/>
      <c r="H64" s="7"/>
      <c r="I64" s="7"/>
      <c r="J64" s="7"/>
      <c r="K64" s="5">
        <f>SUM(COUNTIF(D64:J64,"A") + COUNTIF(D64:J64,"B")) * WORKERS!D62</f>
        <v>0</v>
      </c>
    </row>
    <row r="65" spans="2:11" ht="21" hidden="1" customHeight="1" x14ac:dyDescent="0.25">
      <c r="B65" s="5">
        <f>WORKERS!B63</f>
        <v>0</v>
      </c>
      <c r="C65" s="8">
        <f>WORKERS!C63</f>
        <v>0</v>
      </c>
      <c r="D65" s="7"/>
      <c r="E65" s="7"/>
      <c r="F65" s="7"/>
      <c r="G65" s="7"/>
      <c r="H65" s="7"/>
      <c r="I65" s="7"/>
      <c r="J65" s="7"/>
      <c r="K65" s="5">
        <f>SUM(COUNTIF(D65:J65,"A") + COUNTIF(D65:J65,"B")) * WORKERS!D63</f>
        <v>0</v>
      </c>
    </row>
    <row r="66" spans="2:11" ht="21" hidden="1" customHeight="1" x14ac:dyDescent="0.25">
      <c r="B66" s="5">
        <f>WORKERS!B64</f>
        <v>0</v>
      </c>
      <c r="C66" s="8">
        <f>WORKERS!C64</f>
        <v>0</v>
      </c>
      <c r="D66" s="7"/>
      <c r="E66" s="7"/>
      <c r="F66" s="7"/>
      <c r="G66" s="7"/>
      <c r="H66" s="7"/>
      <c r="I66" s="7"/>
      <c r="J66" s="7"/>
      <c r="K66" s="5">
        <f>SUM(COUNTIF(D66:J66,"A") + COUNTIF(D66:J66,"B")) * WORKERS!D64</f>
        <v>0</v>
      </c>
    </row>
    <row r="67" spans="2:11" ht="21" hidden="1" customHeight="1" x14ac:dyDescent="0.25">
      <c r="B67" s="5">
        <f>WORKERS!B65</f>
        <v>0</v>
      </c>
      <c r="C67" s="8">
        <f>WORKERS!C65</f>
        <v>0</v>
      </c>
      <c r="D67" s="7"/>
      <c r="E67" s="7"/>
      <c r="F67" s="7"/>
      <c r="G67" s="7"/>
      <c r="H67" s="7"/>
      <c r="I67" s="7"/>
      <c r="J67" s="7"/>
      <c r="K67" s="5">
        <f>SUM(COUNTIF(D67:J67,"A") + COUNTIF(D67:J67,"B")) * WORKERS!D65</f>
        <v>0</v>
      </c>
    </row>
    <row r="68" spans="2:11" ht="21" hidden="1" customHeight="1" x14ac:dyDescent="0.25">
      <c r="B68" s="5">
        <f>WORKERS!B66</f>
        <v>0</v>
      </c>
      <c r="C68" s="8">
        <f>WORKERS!C66</f>
        <v>0</v>
      </c>
      <c r="D68" s="7"/>
      <c r="E68" s="7"/>
      <c r="F68" s="7"/>
      <c r="G68" s="7"/>
      <c r="H68" s="7"/>
      <c r="I68" s="7"/>
      <c r="J68" s="7"/>
      <c r="K68" s="5">
        <f>SUM(COUNTIF(D68:J68,"A") + COUNTIF(D68:J68,"B")) * WORKERS!D66</f>
        <v>0</v>
      </c>
    </row>
    <row r="69" spans="2:11" ht="21" hidden="1" customHeight="1" x14ac:dyDescent="0.25">
      <c r="B69" s="5">
        <f>WORKERS!B67</f>
        <v>0</v>
      </c>
      <c r="C69" s="8">
        <f>WORKERS!C67</f>
        <v>0</v>
      </c>
      <c r="D69" s="7"/>
      <c r="E69" s="7"/>
      <c r="F69" s="7"/>
      <c r="G69" s="7"/>
      <c r="H69" s="7"/>
      <c r="I69" s="7"/>
      <c r="J69" s="7"/>
      <c r="K69" s="5">
        <f>SUM(COUNTIF(D69:J69,"A") + COUNTIF(D69:J69,"B")) * WORKERS!D67</f>
        <v>0</v>
      </c>
    </row>
    <row r="70" spans="2:11" ht="21" hidden="1" customHeight="1" x14ac:dyDescent="0.25">
      <c r="B70" s="5">
        <f>WORKERS!B68</f>
        <v>0</v>
      </c>
      <c r="C70" s="8">
        <f>WORKERS!C68</f>
        <v>0</v>
      </c>
      <c r="D70" s="7"/>
      <c r="E70" s="7"/>
      <c r="F70" s="7"/>
      <c r="G70" s="7"/>
      <c r="H70" s="7"/>
      <c r="I70" s="7"/>
      <c r="J70" s="7"/>
      <c r="K70" s="5">
        <f>SUM(COUNTIF(D70:J70,"A") + COUNTIF(D70:J70,"B")) * WORKERS!D68</f>
        <v>0</v>
      </c>
    </row>
    <row r="71" spans="2:11" ht="21" hidden="1" customHeight="1" x14ac:dyDescent="0.25">
      <c r="B71" s="5">
        <f>WORKERS!B69</f>
        <v>0</v>
      </c>
      <c r="C71" s="8">
        <f>WORKERS!C69</f>
        <v>0</v>
      </c>
      <c r="D71" s="7"/>
      <c r="E71" s="7"/>
      <c r="F71" s="7"/>
      <c r="G71" s="7"/>
      <c r="H71" s="7"/>
      <c r="I71" s="7"/>
      <c r="J71" s="7"/>
      <c r="K71" s="5">
        <f>SUM(COUNTIF(D71:J71,"A") + COUNTIF(D71:J71,"B")) * WORKERS!D69</f>
        <v>0</v>
      </c>
    </row>
    <row r="72" spans="2:11" ht="21" hidden="1" customHeight="1" x14ac:dyDescent="0.25">
      <c r="B72" s="5">
        <f>WORKERS!B70</f>
        <v>0</v>
      </c>
      <c r="C72" s="8">
        <f>WORKERS!C70</f>
        <v>0</v>
      </c>
      <c r="D72" s="7"/>
      <c r="E72" s="7"/>
      <c r="F72" s="7"/>
      <c r="G72" s="7"/>
      <c r="H72" s="7"/>
      <c r="I72" s="7"/>
      <c r="J72" s="7"/>
      <c r="K72" s="5">
        <f>SUM(COUNTIF(D72:J72,"A") + COUNTIF(D72:J72,"B")) * WORKERS!D70</f>
        <v>0</v>
      </c>
    </row>
    <row r="73" spans="2:11" ht="21" hidden="1" customHeight="1" x14ac:dyDescent="0.25">
      <c r="B73" s="5">
        <f>WORKERS!B71</f>
        <v>0</v>
      </c>
      <c r="C73" s="8">
        <f>WORKERS!C71</f>
        <v>0</v>
      </c>
      <c r="D73" s="7"/>
      <c r="E73" s="7"/>
      <c r="F73" s="7"/>
      <c r="G73" s="7"/>
      <c r="H73" s="7"/>
      <c r="I73" s="7"/>
      <c r="J73" s="7"/>
      <c r="K73" s="5">
        <f>SUM(COUNTIF(D73:J73,"A") + COUNTIF(D73:J73,"B")) * WORKERS!D71</f>
        <v>0</v>
      </c>
    </row>
    <row r="74" spans="2:11" s="4" customFormat="1" ht="32.25" customHeight="1" x14ac:dyDescent="0.25">
      <c r="B74" s="39" t="s">
        <v>59</v>
      </c>
      <c r="C74" s="40"/>
      <c r="D74" s="6">
        <f>COUNTIF(D6:D73, "A") + COUNTIF(D6:D73, "B")</f>
        <v>0</v>
      </c>
      <c r="E74" s="6">
        <f t="shared" ref="E74:J74" si="0">COUNTIF(E6:E73, "A") + COUNTIF(E6:E73, "B")</f>
        <v>4</v>
      </c>
      <c r="F74" s="6">
        <f t="shared" si="0"/>
        <v>2</v>
      </c>
      <c r="G74" s="6">
        <f t="shared" si="0"/>
        <v>0</v>
      </c>
      <c r="H74" s="6">
        <f t="shared" si="0"/>
        <v>0</v>
      </c>
      <c r="I74" s="6">
        <f t="shared" si="0"/>
        <v>0</v>
      </c>
      <c r="J74" s="6">
        <f t="shared" si="0"/>
        <v>0</v>
      </c>
      <c r="K74" s="41">
        <f>SUM(K6:K73)</f>
        <v>4466.68</v>
      </c>
    </row>
    <row r="75" spans="2:11" ht="28.5" customHeight="1" x14ac:dyDescent="0.35">
      <c r="C75" s="9"/>
      <c r="H75" s="65" t="s">
        <v>61</v>
      </c>
      <c r="I75" s="65"/>
      <c r="J75" s="65"/>
      <c r="K75" s="66">
        <v>200</v>
      </c>
    </row>
    <row r="76" spans="2:11" ht="28.5" customHeight="1" x14ac:dyDescent="0.35">
      <c r="H76" s="67" t="s">
        <v>68</v>
      </c>
      <c r="I76" s="70" t="s">
        <v>60</v>
      </c>
      <c r="J76" s="71"/>
      <c r="K76" s="76">
        <f>(K74+'LOADING LABOUR'!K74)/K75</f>
        <v>22.333400000000001</v>
      </c>
    </row>
  </sheetData>
  <mergeCells count="8">
    <mergeCell ref="B74:C74"/>
    <mergeCell ref="H75:J75"/>
    <mergeCell ref="B2:J3"/>
    <mergeCell ref="I76:J76"/>
    <mergeCell ref="D4:J4"/>
    <mergeCell ref="B4:B5"/>
    <mergeCell ref="C4:C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76FA-3DD2-417D-9F60-16C797A3122D}">
  <dimension ref="B2:K79"/>
  <sheetViews>
    <sheetView topLeftCell="A34" workbookViewId="0">
      <selection activeCell="L82" sqref="L82"/>
    </sheetView>
  </sheetViews>
  <sheetFormatPr defaultRowHeight="15" x14ac:dyDescent="0.25"/>
  <cols>
    <col min="2" max="2" width="9.140625" style="4"/>
    <col min="3" max="3" width="24.85546875" customWidth="1"/>
    <col min="4" max="10" width="13.28515625" style="3" customWidth="1"/>
    <col min="11" max="11" width="26.140625" style="3" customWidth="1"/>
  </cols>
  <sheetData>
    <row r="2" spans="2:11" ht="14.25" customHeight="1" x14ac:dyDescent="0.25">
      <c r="B2" s="43" t="s">
        <v>49</v>
      </c>
      <c r="C2" s="43"/>
      <c r="D2" s="43"/>
      <c r="E2" s="43"/>
      <c r="F2" s="43"/>
      <c r="G2" s="43"/>
      <c r="H2" s="43"/>
      <c r="I2" s="43"/>
      <c r="J2" s="44"/>
      <c r="K2" s="45" t="s">
        <v>63</v>
      </c>
    </row>
    <row r="3" spans="2:11" ht="17.25" customHeight="1" x14ac:dyDescent="0.25">
      <c r="B3" s="43"/>
      <c r="C3" s="43"/>
      <c r="D3" s="43"/>
      <c r="E3" s="43"/>
      <c r="F3" s="43"/>
      <c r="G3" s="43"/>
      <c r="H3" s="43"/>
      <c r="I3" s="43"/>
      <c r="J3" s="44"/>
      <c r="K3" s="46">
        <v>45857</v>
      </c>
    </row>
    <row r="4" spans="2:11" ht="15.75" x14ac:dyDescent="0.25">
      <c r="B4" s="29" t="s">
        <v>39</v>
      </c>
      <c r="C4" s="29" t="s">
        <v>29</v>
      </c>
      <c r="D4" s="28" t="s">
        <v>70</v>
      </c>
      <c r="E4" s="28"/>
      <c r="F4" s="28"/>
      <c r="G4" s="28"/>
      <c r="H4" s="28"/>
      <c r="I4" s="28"/>
      <c r="J4" s="28"/>
      <c r="K4" s="29" t="s">
        <v>50</v>
      </c>
    </row>
    <row r="5" spans="2:11" ht="15.75" x14ac:dyDescent="0.25">
      <c r="B5" s="29"/>
      <c r="C5" s="29"/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29"/>
    </row>
    <row r="6" spans="2:11" ht="21" customHeight="1" x14ac:dyDescent="0.25">
      <c r="B6" s="5">
        <f>WORKERS!B4</f>
        <v>1</v>
      </c>
      <c r="C6" s="8" t="str">
        <f>WORKERS!C4</f>
        <v>T.DILLESWAR RAO</v>
      </c>
      <c r="D6" s="7"/>
      <c r="E6" s="7"/>
      <c r="F6" s="7"/>
      <c r="G6" s="7"/>
      <c r="H6" s="7"/>
      <c r="I6" s="7"/>
      <c r="J6" s="7"/>
      <c r="K6" s="5">
        <f>SUM(COUNTIF(D6:J6,"A") + COUNTIF(D6:J6,"B")) * WORKERS!D4</f>
        <v>0</v>
      </c>
    </row>
    <row r="7" spans="2:11" ht="21" customHeight="1" x14ac:dyDescent="0.25">
      <c r="B7" s="5">
        <f>WORKERS!B5</f>
        <v>2</v>
      </c>
      <c r="C7" s="8" t="str">
        <f>WORKERS!C5</f>
        <v>KUNJABIHARI MAJHI</v>
      </c>
      <c r="D7" s="7"/>
      <c r="E7" s="7"/>
      <c r="F7" s="7"/>
      <c r="G7" s="7"/>
      <c r="H7" s="7"/>
      <c r="I7" s="7"/>
      <c r="J7" s="7"/>
      <c r="K7" s="5">
        <f>SUM(COUNTIF(D7:J7,"A") + COUNTIF(D7:J7,"B")) * WORKERS!D5</f>
        <v>0</v>
      </c>
    </row>
    <row r="8" spans="2:11" ht="21" customHeight="1" x14ac:dyDescent="0.25">
      <c r="B8" s="5">
        <f>WORKERS!B6</f>
        <v>3</v>
      </c>
      <c r="C8" s="8" t="str">
        <f>WORKERS!C6</f>
        <v>SUBHAS MAJHI</v>
      </c>
      <c r="D8" s="7"/>
      <c r="E8" s="7"/>
      <c r="F8" s="7"/>
      <c r="G8" s="7"/>
      <c r="H8" s="7"/>
      <c r="I8" s="7"/>
      <c r="J8" s="7"/>
      <c r="K8" s="5">
        <f>SUM(COUNTIF(D8:J8,"A") + COUNTIF(D8:J8,"B")) * WORKERS!D6</f>
        <v>0</v>
      </c>
    </row>
    <row r="9" spans="2:11" ht="21" customHeight="1" x14ac:dyDescent="0.25">
      <c r="B9" s="5">
        <f>WORKERS!B7</f>
        <v>4</v>
      </c>
      <c r="C9" s="8" t="str">
        <f>WORKERS!C7</f>
        <v>MOHITH</v>
      </c>
      <c r="D9" s="7"/>
      <c r="E9" s="7"/>
      <c r="F9" s="7"/>
      <c r="G9" s="7"/>
      <c r="H9" s="7"/>
      <c r="I9" s="7"/>
      <c r="J9" s="7"/>
      <c r="K9" s="5">
        <f>SUM(COUNTIF(D9:J9,"A") + COUNTIF(D9:J9,"B")) * WORKERS!D7</f>
        <v>0</v>
      </c>
    </row>
    <row r="10" spans="2:11" ht="21" customHeight="1" x14ac:dyDescent="0.25">
      <c r="B10" s="5">
        <f>WORKERS!B8</f>
        <v>5</v>
      </c>
      <c r="C10" s="8" t="str">
        <f>WORKERS!C8</f>
        <v>BIJAY MAJHI</v>
      </c>
      <c r="D10" s="7"/>
      <c r="E10" s="7"/>
      <c r="F10" s="7"/>
      <c r="G10" s="7"/>
      <c r="H10" s="7"/>
      <c r="I10" s="7"/>
      <c r="J10" s="7"/>
      <c r="K10" s="5">
        <f>SUM(COUNTIF(D10:J10,"A") + COUNTIF(D10:J10,"B")) * WORKERS!D8</f>
        <v>0</v>
      </c>
    </row>
    <row r="11" spans="2:11" ht="21" customHeight="1" x14ac:dyDescent="0.25">
      <c r="B11" s="5">
        <f>WORKERS!B9</f>
        <v>6</v>
      </c>
      <c r="C11" s="8" t="str">
        <f>WORKERS!C9</f>
        <v>BASANTA MAJHI</v>
      </c>
      <c r="D11" s="7"/>
      <c r="E11" s="7" t="s">
        <v>58</v>
      </c>
      <c r="F11" s="7"/>
      <c r="G11" s="7"/>
      <c r="H11" s="7"/>
      <c r="I11" s="7"/>
      <c r="J11" s="7"/>
      <c r="K11" s="5">
        <f>SUM(COUNTIF(D11:J11,"A") + COUNTIF(D11:J11,"B")) * WORKERS!D9</f>
        <v>700</v>
      </c>
    </row>
    <row r="12" spans="2:11" ht="21" customHeight="1" x14ac:dyDescent="0.25">
      <c r="B12" s="5">
        <f>WORKERS!B10</f>
        <v>7</v>
      </c>
      <c r="C12" s="8" t="str">
        <f>WORKERS!C10</f>
        <v>ROHITH MAJHI</v>
      </c>
      <c r="D12" s="7"/>
      <c r="E12" s="7" t="s">
        <v>57</v>
      </c>
      <c r="F12" s="7"/>
      <c r="G12" s="7"/>
      <c r="H12" s="7"/>
      <c r="I12" s="7"/>
      <c r="J12" s="7"/>
      <c r="K12" s="5">
        <f>SUM(COUNTIF(D12:J12,"A") + COUNTIF(D12:J12,"B")) * WORKERS!D10</f>
        <v>1200</v>
      </c>
    </row>
    <row r="13" spans="2:11" ht="21" customHeight="1" x14ac:dyDescent="0.25">
      <c r="B13" s="5">
        <f>WORKERS!B11</f>
        <v>8</v>
      </c>
      <c r="C13" s="8" t="str">
        <f>WORKERS!C11</f>
        <v>JANMENJAYA BHOI</v>
      </c>
      <c r="D13" s="7"/>
      <c r="E13" s="7" t="s">
        <v>58</v>
      </c>
      <c r="F13" s="7"/>
      <c r="G13" s="7"/>
      <c r="H13" s="7"/>
      <c r="I13" s="7"/>
      <c r="J13" s="7"/>
      <c r="K13" s="5">
        <f>SUM(COUNTIF(D13:J13,"A") + COUNTIF(D13:J13,"B")) * WORKERS!D11</f>
        <v>700</v>
      </c>
    </row>
    <row r="14" spans="2:11" ht="21" customHeight="1" x14ac:dyDescent="0.25">
      <c r="B14" s="5">
        <f>WORKERS!B12</f>
        <v>9</v>
      </c>
      <c r="C14" s="8" t="str">
        <f>WORKERS!C12</f>
        <v>PURAUSTAM BANCHOR</v>
      </c>
      <c r="D14" s="7"/>
      <c r="E14" s="7" t="s">
        <v>57</v>
      </c>
      <c r="F14" s="7"/>
      <c r="G14" s="7"/>
      <c r="H14" s="7"/>
      <c r="I14" s="7"/>
      <c r="J14" s="7"/>
      <c r="K14" s="5">
        <f>SUM(COUNTIF(D14:J14,"A") + COUNTIF(D14:J14,"B")) * WORKERS!D12</f>
        <v>583.34</v>
      </c>
    </row>
    <row r="15" spans="2:11" ht="21" customHeight="1" x14ac:dyDescent="0.25">
      <c r="B15" s="5">
        <f>WORKERS!B13</f>
        <v>10</v>
      </c>
      <c r="C15" s="8" t="str">
        <f>WORKERS!C13</f>
        <v>THABIR GOUD</v>
      </c>
      <c r="D15" s="7"/>
      <c r="E15" s="7" t="s">
        <v>58</v>
      </c>
      <c r="F15" s="7"/>
      <c r="G15" s="7"/>
      <c r="H15" s="7"/>
      <c r="I15" s="7"/>
      <c r="J15" s="7"/>
      <c r="K15" s="5">
        <f>SUM(COUNTIF(D15:J15,"A") + COUNTIF(D15:J15,"B")) * WORKERS!D13</f>
        <v>583.34</v>
      </c>
    </row>
    <row r="16" spans="2:11" ht="21" customHeight="1" x14ac:dyDescent="0.25">
      <c r="B16" s="5">
        <f>WORKERS!B14</f>
        <v>11</v>
      </c>
      <c r="C16" s="8" t="str">
        <f>WORKERS!C14</f>
        <v>SARATH</v>
      </c>
      <c r="D16" s="7"/>
      <c r="E16" s="7"/>
      <c r="F16" s="7"/>
      <c r="G16" s="7"/>
      <c r="H16" s="7"/>
      <c r="I16" s="7"/>
      <c r="J16" s="7"/>
      <c r="K16" s="5">
        <f>SUM(COUNTIF(D16:J16,"A") + COUNTIF(D16:J16,"B")) * WORKERS!D14</f>
        <v>0</v>
      </c>
    </row>
    <row r="17" spans="2:11" ht="21" customHeight="1" x14ac:dyDescent="0.25">
      <c r="B17" s="5">
        <f>WORKERS!B15</f>
        <v>12</v>
      </c>
      <c r="C17" s="8" t="str">
        <f>WORKERS!C15</f>
        <v>ANIL MAJHI</v>
      </c>
      <c r="D17" s="7"/>
      <c r="E17" s="7"/>
      <c r="F17" s="7"/>
      <c r="G17" s="7"/>
      <c r="H17" s="7"/>
      <c r="I17" s="7"/>
      <c r="J17" s="7"/>
      <c r="K17" s="5">
        <f>SUM(COUNTIF(D17:J17,"A") + COUNTIF(D17:J17,"B")) * WORKERS!D15</f>
        <v>0</v>
      </c>
    </row>
    <row r="18" spans="2:11" ht="21" customHeight="1" x14ac:dyDescent="0.25">
      <c r="B18" s="5">
        <f>WORKERS!B16</f>
        <v>13</v>
      </c>
      <c r="C18" s="8" t="str">
        <f>WORKERS!C16</f>
        <v>RASIKA GOUD</v>
      </c>
      <c r="D18" s="7"/>
      <c r="E18" s="7"/>
      <c r="F18" s="7"/>
      <c r="G18" s="7"/>
      <c r="H18" s="7"/>
      <c r="I18" s="7"/>
      <c r="J18" s="7"/>
      <c r="K18" s="5">
        <f>SUM(COUNTIF(D18:J18,"A") + COUNTIF(D18:J18,"B")) * WORKERS!D16</f>
        <v>0</v>
      </c>
    </row>
    <row r="19" spans="2:11" ht="21" customHeight="1" x14ac:dyDescent="0.25">
      <c r="B19" s="5">
        <f>WORKERS!B17</f>
        <v>14</v>
      </c>
      <c r="C19" s="8" t="str">
        <f>WORKERS!C17</f>
        <v>PARMANANDA BANCHOR</v>
      </c>
      <c r="D19" s="7"/>
      <c r="E19" s="7"/>
      <c r="F19" s="7"/>
      <c r="G19" s="7"/>
      <c r="H19" s="7"/>
      <c r="I19" s="7"/>
      <c r="J19" s="7"/>
      <c r="K19" s="5">
        <f>SUM(COUNTIF(D19:J19,"A") + COUNTIF(D19:J19,"B")) * WORKERS!D17</f>
        <v>0</v>
      </c>
    </row>
    <row r="20" spans="2:11" ht="21" customHeight="1" x14ac:dyDescent="0.25">
      <c r="B20" s="5">
        <f>WORKERS!B18</f>
        <v>15</v>
      </c>
      <c r="C20" s="8" t="str">
        <f>WORKERS!C18</f>
        <v>LINGRAJ PODH</v>
      </c>
      <c r="D20" s="7"/>
      <c r="E20" s="7"/>
      <c r="F20" s="7"/>
      <c r="G20" s="7"/>
      <c r="H20" s="7"/>
      <c r="I20" s="7"/>
      <c r="J20" s="7"/>
      <c r="K20" s="5">
        <f>SUM(COUNTIF(D20:J20,"A") + COUNTIF(D20:J20,"B")) * WORKERS!D18</f>
        <v>0</v>
      </c>
    </row>
    <row r="21" spans="2:11" ht="21" customHeight="1" x14ac:dyDescent="0.25">
      <c r="B21" s="5">
        <f>WORKERS!B19</f>
        <v>16</v>
      </c>
      <c r="C21" s="8" t="str">
        <f>WORKERS!C19</f>
        <v>RAMAKANTA BANCHOR</v>
      </c>
      <c r="D21" s="7"/>
      <c r="E21" s="7"/>
      <c r="F21" s="7"/>
      <c r="G21" s="7"/>
      <c r="H21" s="7"/>
      <c r="I21" s="7"/>
      <c r="J21" s="7"/>
      <c r="K21" s="5">
        <f>SUM(COUNTIF(D21:J21,"A") + COUNTIF(D21:J21,"B")) * WORKERS!D19</f>
        <v>0</v>
      </c>
    </row>
    <row r="22" spans="2:11" ht="21" customHeight="1" x14ac:dyDescent="0.25">
      <c r="B22" s="5">
        <f>WORKERS!B20</f>
        <v>17</v>
      </c>
      <c r="C22" s="8" t="str">
        <f>WORKERS!C20</f>
        <v>RUSHIBHOI</v>
      </c>
      <c r="D22" s="7"/>
      <c r="E22" s="7"/>
      <c r="F22" s="7"/>
      <c r="G22" s="7"/>
      <c r="H22" s="7"/>
      <c r="I22" s="7"/>
      <c r="J22" s="7"/>
      <c r="K22" s="5">
        <f>SUM(COUNTIF(D22:J22,"A") + COUNTIF(D22:J22,"B")) * WORKERS!D20</f>
        <v>0</v>
      </c>
    </row>
    <row r="23" spans="2:11" ht="21" customHeight="1" x14ac:dyDescent="0.25">
      <c r="B23" s="5">
        <f>WORKERS!B21</f>
        <v>18</v>
      </c>
      <c r="C23" s="8" t="str">
        <f>WORKERS!C21</f>
        <v>VIJAY BHOI</v>
      </c>
      <c r="D23" s="7"/>
      <c r="E23" s="7"/>
      <c r="F23" s="7"/>
      <c r="G23" s="7"/>
      <c r="H23" s="7"/>
      <c r="I23" s="7"/>
      <c r="J23" s="7"/>
      <c r="K23" s="5">
        <f>SUM(COUNTIF(D23:J23,"A") + COUNTIF(D23:J23,"B")) * WORKERS!D21</f>
        <v>0</v>
      </c>
    </row>
    <row r="24" spans="2:11" ht="21" customHeight="1" x14ac:dyDescent="0.25">
      <c r="B24" s="5">
        <f>WORKERS!B22</f>
        <v>19</v>
      </c>
      <c r="C24" s="8" t="str">
        <f>WORKERS!C22</f>
        <v>JAGATHRAY KANTERI</v>
      </c>
      <c r="D24" s="7"/>
      <c r="E24" s="7"/>
      <c r="F24" s="7"/>
      <c r="G24" s="7"/>
      <c r="H24" s="7"/>
      <c r="I24" s="7"/>
      <c r="J24" s="7"/>
      <c r="K24" s="5">
        <f>SUM(COUNTIF(D24:J24,"A") + COUNTIF(D24:J24,"B")) * WORKERS!D22</f>
        <v>0</v>
      </c>
    </row>
    <row r="25" spans="2:11" ht="21" customHeight="1" x14ac:dyDescent="0.25">
      <c r="B25" s="5">
        <f>WORKERS!B23</f>
        <v>20</v>
      </c>
      <c r="C25" s="8" t="str">
        <f>WORKERS!C23</f>
        <v>KAILASH</v>
      </c>
      <c r="D25" s="7"/>
      <c r="E25" s="7"/>
      <c r="F25" s="7"/>
      <c r="G25" s="7"/>
      <c r="H25" s="7"/>
      <c r="I25" s="7"/>
      <c r="J25" s="7"/>
      <c r="K25" s="5">
        <f>SUM(COUNTIF(D25:J25,"A") + COUNTIF(D25:J25,"B")) * WORKERS!D23</f>
        <v>0</v>
      </c>
    </row>
    <row r="26" spans="2:11" ht="21" customHeight="1" x14ac:dyDescent="0.25">
      <c r="B26" s="5">
        <f>WORKERS!B24</f>
        <v>21</v>
      </c>
      <c r="C26" s="8" t="str">
        <f>WORKERS!C24</f>
        <v>PRASHANTH</v>
      </c>
      <c r="D26" s="7"/>
      <c r="E26" s="7"/>
      <c r="F26" s="7"/>
      <c r="G26" s="7"/>
      <c r="H26" s="7"/>
      <c r="I26" s="7"/>
      <c r="J26" s="7"/>
      <c r="K26" s="5">
        <f>SUM(COUNTIF(D26:J26,"A") + COUNTIF(D26:J26,"B")) * WORKERS!D24</f>
        <v>0</v>
      </c>
    </row>
    <row r="27" spans="2:11" ht="21" customHeight="1" x14ac:dyDescent="0.25">
      <c r="B27" s="5">
        <f>WORKERS!B25</f>
        <v>22</v>
      </c>
      <c r="C27" s="8" t="str">
        <f>WORKERS!C25</f>
        <v>KESAV TILI</v>
      </c>
      <c r="D27" s="7"/>
      <c r="E27" s="7"/>
      <c r="F27" s="7"/>
      <c r="G27" s="7"/>
      <c r="H27" s="7"/>
      <c r="I27" s="7"/>
      <c r="J27" s="7"/>
      <c r="K27" s="5">
        <f>SUM(COUNTIF(D27:J27,"A") + COUNTIF(D27:J27,"B")) * WORKERS!D25</f>
        <v>0</v>
      </c>
    </row>
    <row r="28" spans="2:11" ht="21" customHeight="1" x14ac:dyDescent="0.25">
      <c r="B28" s="5">
        <f>WORKERS!B26</f>
        <v>23</v>
      </c>
      <c r="C28" s="8" t="str">
        <f>WORKERS!C26</f>
        <v xml:space="preserve">JAGADISH </v>
      </c>
      <c r="D28" s="7"/>
      <c r="E28" s="7"/>
      <c r="F28" s="7"/>
      <c r="G28" s="7"/>
      <c r="H28" s="7"/>
      <c r="I28" s="7"/>
      <c r="J28" s="7"/>
      <c r="K28" s="5">
        <f>SUM(COUNTIF(D28:J28,"A") + COUNTIF(D28:J28,"B")) * WORKERS!D26</f>
        <v>0</v>
      </c>
    </row>
    <row r="29" spans="2:11" ht="21" customHeight="1" x14ac:dyDescent="0.25">
      <c r="B29" s="5">
        <f>WORKERS!B27</f>
        <v>24</v>
      </c>
      <c r="C29" s="8" t="str">
        <f>WORKERS!C27</f>
        <v>LAXMIDHAR DORA</v>
      </c>
      <c r="D29" s="7"/>
      <c r="E29" s="7"/>
      <c r="F29" s="7"/>
      <c r="G29" s="7"/>
      <c r="H29" s="7"/>
      <c r="I29" s="7"/>
      <c r="J29" s="7"/>
      <c r="K29" s="5">
        <f>SUM(COUNTIF(D29:J29,"A") + COUNTIF(D29:J29,"B")) * WORKERS!D27</f>
        <v>0</v>
      </c>
    </row>
    <row r="30" spans="2:11" ht="21" customHeight="1" x14ac:dyDescent="0.25">
      <c r="B30" s="5">
        <f>WORKERS!B28</f>
        <v>25</v>
      </c>
      <c r="C30" s="8" t="str">
        <f>WORKERS!C28</f>
        <v>ANAND</v>
      </c>
      <c r="D30" s="7"/>
      <c r="E30" s="7"/>
      <c r="F30" s="7"/>
      <c r="G30" s="7"/>
      <c r="H30" s="7"/>
      <c r="I30" s="7"/>
      <c r="J30" s="7"/>
      <c r="K30" s="5">
        <f>SUM(COUNTIF(D30:J30,"A") + COUNTIF(D30:J30,"B")) * WORKERS!D28</f>
        <v>0</v>
      </c>
    </row>
    <row r="31" spans="2:11" ht="21" customHeight="1" x14ac:dyDescent="0.25">
      <c r="B31" s="5">
        <f>WORKERS!B29</f>
        <v>26</v>
      </c>
      <c r="C31" s="8" t="str">
        <f>WORKERS!C29</f>
        <v>TRILOCHAN</v>
      </c>
      <c r="D31" s="7"/>
      <c r="E31" s="7"/>
      <c r="F31" s="7"/>
      <c r="G31" s="7"/>
      <c r="H31" s="7"/>
      <c r="I31" s="7"/>
      <c r="J31" s="7"/>
      <c r="K31" s="5">
        <f>SUM(COUNTIF(D31:J31,"A") + COUNTIF(D31:J31,"B")) * WORKERS!D29</f>
        <v>0</v>
      </c>
    </row>
    <row r="32" spans="2:11" ht="21" customHeight="1" x14ac:dyDescent="0.25">
      <c r="B32" s="5">
        <f>WORKERS!B30</f>
        <v>27</v>
      </c>
      <c r="C32" s="8" t="str">
        <f>WORKERS!C30</f>
        <v>GULUK VRYANG</v>
      </c>
      <c r="D32" s="7"/>
      <c r="E32" s="7"/>
      <c r="F32" s="7"/>
      <c r="G32" s="7"/>
      <c r="H32" s="7"/>
      <c r="I32" s="7"/>
      <c r="J32" s="7"/>
      <c r="K32" s="5">
        <f>SUM(COUNTIF(D32:J32,"A") + COUNTIF(D32:J32,"B")) * WORKERS!D30</f>
        <v>0</v>
      </c>
    </row>
    <row r="33" spans="2:11" ht="21" customHeight="1" x14ac:dyDescent="0.25">
      <c r="B33" s="5">
        <f>WORKERS!B31</f>
        <v>28</v>
      </c>
      <c r="C33" s="8" t="str">
        <f>WORKERS!C31</f>
        <v>BALABHADRA DORA</v>
      </c>
      <c r="D33" s="7"/>
      <c r="E33" s="7"/>
      <c r="F33" s="7"/>
      <c r="G33" s="7"/>
      <c r="H33" s="7"/>
      <c r="I33" s="7"/>
      <c r="J33" s="7"/>
      <c r="K33" s="5">
        <f>SUM(COUNTIF(D33:J33,"A") + COUNTIF(D33:J33,"B")) * WORKERS!D31</f>
        <v>0</v>
      </c>
    </row>
    <row r="34" spans="2:11" ht="21" customHeight="1" x14ac:dyDescent="0.25">
      <c r="B34" s="5">
        <f>WORKERS!B32</f>
        <v>29</v>
      </c>
      <c r="C34" s="8" t="str">
        <f>WORKERS!C32</f>
        <v>RANJITH</v>
      </c>
      <c r="D34" s="7"/>
      <c r="E34" s="7"/>
      <c r="F34" s="7"/>
      <c r="G34" s="7"/>
      <c r="H34" s="7"/>
      <c r="I34" s="7"/>
      <c r="J34" s="7"/>
      <c r="K34" s="5">
        <f>SUM(COUNTIF(D34:J34,"A") + COUNTIF(D34:J34,"B")) * WORKERS!D32</f>
        <v>0</v>
      </c>
    </row>
    <row r="35" spans="2:11" ht="21" customHeight="1" x14ac:dyDescent="0.25">
      <c r="B35" s="5">
        <f>WORKERS!B33</f>
        <v>30</v>
      </c>
      <c r="C35" s="8" t="str">
        <f>WORKERS!C33</f>
        <v>JAGADISH DORA</v>
      </c>
      <c r="D35" s="7"/>
      <c r="E35" s="7"/>
      <c r="F35" s="7"/>
      <c r="G35" s="7"/>
      <c r="H35" s="7"/>
      <c r="I35" s="7"/>
      <c r="J35" s="7"/>
      <c r="K35" s="5">
        <f>SUM(COUNTIF(D35:J35,"A") + COUNTIF(D35:J35,"B")) * WORKERS!D33</f>
        <v>0</v>
      </c>
    </row>
    <row r="36" spans="2:11" ht="21" customHeight="1" x14ac:dyDescent="0.25">
      <c r="B36" s="5">
        <f>WORKERS!B34</f>
        <v>31</v>
      </c>
      <c r="C36" s="8" t="str">
        <f>WORKERS!C34</f>
        <v>MUNNA</v>
      </c>
      <c r="D36" s="7"/>
      <c r="E36" s="7"/>
      <c r="F36" s="7"/>
      <c r="G36" s="7"/>
      <c r="H36" s="7"/>
      <c r="I36" s="7"/>
      <c r="J36" s="7"/>
      <c r="K36" s="5">
        <f>SUM(COUNTIF(D36:J36,"A") + COUNTIF(D36:J36,"B")) * WORKERS!D34</f>
        <v>0</v>
      </c>
    </row>
    <row r="37" spans="2:11" ht="21" customHeight="1" x14ac:dyDescent="0.25">
      <c r="B37" s="5">
        <f>WORKERS!B35</f>
        <v>32</v>
      </c>
      <c r="C37" s="8" t="str">
        <f>WORKERS!C35</f>
        <v>DEVI</v>
      </c>
      <c r="D37" s="7"/>
      <c r="E37" s="7"/>
      <c r="F37" s="7"/>
      <c r="G37" s="7"/>
      <c r="H37" s="7"/>
      <c r="I37" s="7"/>
      <c r="J37" s="7"/>
      <c r="K37" s="5">
        <f>SUM(COUNTIF(D37:J37,"A") + COUNTIF(D37:J37,"B")) * WORKERS!D35</f>
        <v>0</v>
      </c>
    </row>
    <row r="38" spans="2:11" ht="21" customHeight="1" x14ac:dyDescent="0.25">
      <c r="B38" s="5">
        <f>WORKERS!B36</f>
        <v>33</v>
      </c>
      <c r="C38" s="8" t="str">
        <f>WORKERS!C36</f>
        <v>KONDAMMA</v>
      </c>
      <c r="D38" s="7"/>
      <c r="E38" s="7"/>
      <c r="F38" s="7"/>
      <c r="G38" s="7"/>
      <c r="H38" s="7"/>
      <c r="I38" s="7"/>
      <c r="J38" s="7"/>
      <c r="K38" s="5">
        <f>SUM(COUNTIF(D38:J38,"A") + COUNTIF(D38:J38,"B")) * WORKERS!D36</f>
        <v>0</v>
      </c>
    </row>
    <row r="39" spans="2:11" ht="21" customHeight="1" x14ac:dyDescent="0.25">
      <c r="B39" s="5">
        <f>WORKERS!B37</f>
        <v>34</v>
      </c>
      <c r="C39" s="8" t="str">
        <f>WORKERS!C37</f>
        <v>YERNAMMA</v>
      </c>
      <c r="D39" s="7"/>
      <c r="E39" s="7"/>
      <c r="F39" s="7"/>
      <c r="G39" s="7"/>
      <c r="H39" s="7"/>
      <c r="I39" s="7"/>
      <c r="J39" s="7"/>
      <c r="K39" s="5">
        <f>SUM(COUNTIF(D39:J39,"A") + COUNTIF(D39:J39,"B")) * WORKERS!D37</f>
        <v>0</v>
      </c>
    </row>
    <row r="40" spans="2:11" ht="21" customHeight="1" x14ac:dyDescent="0.25">
      <c r="B40" s="5">
        <f>WORKERS!B38</f>
        <v>35</v>
      </c>
      <c r="C40" s="8" t="str">
        <f>WORKERS!C38</f>
        <v>RAJENDRA DORA</v>
      </c>
      <c r="D40" s="7"/>
      <c r="E40" s="7"/>
      <c r="F40" s="7"/>
      <c r="G40" s="7"/>
      <c r="H40" s="7"/>
      <c r="I40" s="7"/>
      <c r="J40" s="7"/>
      <c r="K40" s="5">
        <f>SUM(COUNTIF(D40:J40,"A") + COUNTIF(D40:J40,"B")) * WORKERS!D38</f>
        <v>0</v>
      </c>
    </row>
    <row r="41" spans="2:11" ht="21" hidden="1" customHeight="1" x14ac:dyDescent="0.25">
      <c r="B41" s="5">
        <f>WORKERS!B39</f>
        <v>0</v>
      </c>
      <c r="C41" s="8">
        <f>WORKERS!C39</f>
        <v>0</v>
      </c>
      <c r="D41" s="7"/>
      <c r="E41" s="7"/>
      <c r="F41" s="7"/>
      <c r="G41" s="7"/>
      <c r="H41" s="7"/>
      <c r="I41" s="7"/>
      <c r="J41" s="7"/>
      <c r="K41" s="5">
        <f>SUM(COUNTIF(D41:J41,"A") + COUNTIF(D41:J41,"B")) * WORKERS!D39</f>
        <v>0</v>
      </c>
    </row>
    <row r="42" spans="2:11" ht="21" hidden="1" customHeight="1" x14ac:dyDescent="0.25">
      <c r="B42" s="5">
        <f>WORKERS!B40</f>
        <v>0</v>
      </c>
      <c r="C42" s="8">
        <f>WORKERS!C40</f>
        <v>0</v>
      </c>
      <c r="D42" s="7"/>
      <c r="E42" s="7"/>
      <c r="F42" s="7"/>
      <c r="G42" s="7"/>
      <c r="H42" s="7"/>
      <c r="I42" s="7"/>
      <c r="J42" s="7"/>
      <c r="K42" s="5">
        <f>SUM(COUNTIF(D42:J42,"A") + COUNTIF(D42:J42,"B")) * WORKERS!D40</f>
        <v>0</v>
      </c>
    </row>
    <row r="43" spans="2:11" ht="21" hidden="1" customHeight="1" x14ac:dyDescent="0.25">
      <c r="B43" s="5">
        <f>WORKERS!B41</f>
        <v>0</v>
      </c>
      <c r="C43" s="8">
        <f>WORKERS!C41</f>
        <v>0</v>
      </c>
      <c r="D43" s="7"/>
      <c r="E43" s="7"/>
      <c r="F43" s="7"/>
      <c r="G43" s="7"/>
      <c r="H43" s="7"/>
      <c r="I43" s="7"/>
      <c r="J43" s="7"/>
      <c r="K43" s="5">
        <f>SUM(COUNTIF(D43:J43,"A") + COUNTIF(D43:J43,"B")) * WORKERS!D41</f>
        <v>0</v>
      </c>
    </row>
    <row r="44" spans="2:11" ht="21" hidden="1" customHeight="1" x14ac:dyDescent="0.25">
      <c r="B44" s="5">
        <f>WORKERS!B42</f>
        <v>0</v>
      </c>
      <c r="C44" s="8">
        <f>WORKERS!C42</f>
        <v>0</v>
      </c>
      <c r="D44" s="7"/>
      <c r="E44" s="7"/>
      <c r="F44" s="7"/>
      <c r="G44" s="7"/>
      <c r="H44" s="7"/>
      <c r="I44" s="7"/>
      <c r="J44" s="7"/>
      <c r="K44" s="5">
        <f>SUM(COUNTIF(D44:J44,"A") + COUNTIF(D44:J44,"B")) * WORKERS!D42</f>
        <v>0</v>
      </c>
    </row>
    <row r="45" spans="2:11" ht="21" hidden="1" customHeight="1" x14ac:dyDescent="0.25">
      <c r="B45" s="5">
        <f>WORKERS!B43</f>
        <v>0</v>
      </c>
      <c r="C45" s="8">
        <f>WORKERS!C43</f>
        <v>0</v>
      </c>
      <c r="D45" s="7"/>
      <c r="E45" s="7"/>
      <c r="F45" s="7"/>
      <c r="G45" s="7"/>
      <c r="H45" s="7"/>
      <c r="I45" s="7"/>
      <c r="J45" s="7"/>
      <c r="K45" s="5">
        <f>SUM(COUNTIF(D45:J45,"A") + COUNTIF(D45:J45,"B")) * WORKERS!D43</f>
        <v>0</v>
      </c>
    </row>
    <row r="46" spans="2:11" ht="21" hidden="1" customHeight="1" x14ac:dyDescent="0.25">
      <c r="B46" s="5">
        <f>WORKERS!B44</f>
        <v>0</v>
      </c>
      <c r="C46" s="8">
        <f>WORKERS!C44</f>
        <v>0</v>
      </c>
      <c r="D46" s="7"/>
      <c r="E46" s="7"/>
      <c r="F46" s="7"/>
      <c r="G46" s="7"/>
      <c r="H46" s="7"/>
      <c r="I46" s="7"/>
      <c r="J46" s="7"/>
      <c r="K46" s="5">
        <f>SUM(COUNTIF(D46:J46,"A") + COUNTIF(D46:J46,"B")) * WORKERS!D44</f>
        <v>0</v>
      </c>
    </row>
    <row r="47" spans="2:11" ht="21" hidden="1" customHeight="1" x14ac:dyDescent="0.25">
      <c r="B47" s="5">
        <f>WORKERS!B45</f>
        <v>0</v>
      </c>
      <c r="C47" s="8">
        <f>WORKERS!C45</f>
        <v>0</v>
      </c>
      <c r="D47" s="7"/>
      <c r="E47" s="7"/>
      <c r="F47" s="7"/>
      <c r="G47" s="7"/>
      <c r="H47" s="7"/>
      <c r="I47" s="7"/>
      <c r="J47" s="7"/>
      <c r="K47" s="5">
        <f>SUM(COUNTIF(D47:J47,"A") + COUNTIF(D47:J47,"B")) * WORKERS!D45</f>
        <v>0</v>
      </c>
    </row>
    <row r="48" spans="2:11" ht="21" hidden="1" customHeight="1" x14ac:dyDescent="0.25">
      <c r="B48" s="5">
        <f>WORKERS!B46</f>
        <v>0</v>
      </c>
      <c r="C48" s="8">
        <f>WORKERS!C46</f>
        <v>0</v>
      </c>
      <c r="D48" s="7"/>
      <c r="E48" s="7"/>
      <c r="F48" s="7"/>
      <c r="G48" s="7"/>
      <c r="H48" s="7"/>
      <c r="I48" s="7"/>
      <c r="J48" s="7"/>
      <c r="K48" s="5">
        <f>SUM(COUNTIF(D48:J48,"A") + COUNTIF(D48:J48,"B")) * WORKERS!D46</f>
        <v>0</v>
      </c>
    </row>
    <row r="49" spans="2:11" ht="21" hidden="1" customHeight="1" x14ac:dyDescent="0.25">
      <c r="B49" s="5">
        <f>WORKERS!B47</f>
        <v>0</v>
      </c>
      <c r="C49" s="8">
        <f>WORKERS!C47</f>
        <v>0</v>
      </c>
      <c r="D49" s="7"/>
      <c r="E49" s="7"/>
      <c r="F49" s="7"/>
      <c r="G49" s="7"/>
      <c r="H49" s="7"/>
      <c r="I49" s="7"/>
      <c r="J49" s="7"/>
      <c r="K49" s="5">
        <f>SUM(COUNTIF(D49:J49,"A") + COUNTIF(D49:J49,"B")) * WORKERS!D47</f>
        <v>0</v>
      </c>
    </row>
    <row r="50" spans="2:11" ht="21" hidden="1" customHeight="1" x14ac:dyDescent="0.25">
      <c r="B50" s="5">
        <f>WORKERS!B48</f>
        <v>0</v>
      </c>
      <c r="C50" s="8">
        <f>WORKERS!C48</f>
        <v>0</v>
      </c>
      <c r="D50" s="7"/>
      <c r="E50" s="7"/>
      <c r="F50" s="7"/>
      <c r="G50" s="7"/>
      <c r="H50" s="7"/>
      <c r="I50" s="7"/>
      <c r="J50" s="7"/>
      <c r="K50" s="5">
        <f>SUM(COUNTIF(D50:J50,"A") + COUNTIF(D50:J50,"B")) * WORKERS!D48</f>
        <v>0</v>
      </c>
    </row>
    <row r="51" spans="2:11" ht="21" hidden="1" customHeight="1" x14ac:dyDescent="0.25">
      <c r="B51" s="5">
        <f>WORKERS!B49</f>
        <v>0</v>
      </c>
      <c r="C51" s="8">
        <f>WORKERS!C49</f>
        <v>0</v>
      </c>
      <c r="D51" s="7"/>
      <c r="E51" s="7"/>
      <c r="F51" s="7"/>
      <c r="G51" s="7"/>
      <c r="H51" s="7"/>
      <c r="I51" s="7"/>
      <c r="J51" s="7"/>
      <c r="K51" s="5">
        <f>SUM(COUNTIF(D51:J51,"A") + COUNTIF(D51:J51,"B")) * WORKERS!D49</f>
        <v>0</v>
      </c>
    </row>
    <row r="52" spans="2:11" ht="21" hidden="1" customHeight="1" x14ac:dyDescent="0.25">
      <c r="B52" s="5">
        <f>WORKERS!B50</f>
        <v>0</v>
      </c>
      <c r="C52" s="8">
        <f>WORKERS!C50</f>
        <v>0</v>
      </c>
      <c r="D52" s="7"/>
      <c r="E52" s="7"/>
      <c r="F52" s="7"/>
      <c r="G52" s="7"/>
      <c r="H52" s="7"/>
      <c r="I52" s="7"/>
      <c r="J52" s="7"/>
      <c r="K52" s="5">
        <f>SUM(COUNTIF(D52:J52,"A") + COUNTIF(D52:J52,"B")) * WORKERS!D50</f>
        <v>0</v>
      </c>
    </row>
    <row r="53" spans="2:11" ht="21" hidden="1" customHeight="1" x14ac:dyDescent="0.25">
      <c r="B53" s="5">
        <f>WORKERS!B51</f>
        <v>0</v>
      </c>
      <c r="C53" s="8">
        <f>WORKERS!C51</f>
        <v>0</v>
      </c>
      <c r="D53" s="7"/>
      <c r="E53" s="7"/>
      <c r="F53" s="7"/>
      <c r="G53" s="7"/>
      <c r="H53" s="7"/>
      <c r="I53" s="7"/>
      <c r="J53" s="7"/>
      <c r="K53" s="5">
        <f>SUM(COUNTIF(D53:J53,"A") + COUNTIF(D53:J53,"B")) * WORKERS!D51</f>
        <v>0</v>
      </c>
    </row>
    <row r="54" spans="2:11" ht="21" hidden="1" customHeight="1" x14ac:dyDescent="0.25">
      <c r="B54" s="5">
        <f>WORKERS!B52</f>
        <v>0</v>
      </c>
      <c r="C54" s="8">
        <f>WORKERS!C52</f>
        <v>0</v>
      </c>
      <c r="D54" s="7"/>
      <c r="E54" s="7"/>
      <c r="F54" s="7"/>
      <c r="G54" s="7"/>
      <c r="H54" s="7"/>
      <c r="I54" s="7"/>
      <c r="J54" s="7"/>
      <c r="K54" s="5">
        <f>SUM(COUNTIF(D54:J54,"A") + COUNTIF(D54:J54,"B")) * WORKERS!D52</f>
        <v>0</v>
      </c>
    </row>
    <row r="55" spans="2:11" ht="21" hidden="1" customHeight="1" x14ac:dyDescent="0.25">
      <c r="B55" s="5">
        <f>WORKERS!B53</f>
        <v>0</v>
      </c>
      <c r="C55" s="8">
        <f>WORKERS!C53</f>
        <v>0</v>
      </c>
      <c r="D55" s="7"/>
      <c r="E55" s="7"/>
      <c r="F55" s="7"/>
      <c r="G55" s="7"/>
      <c r="H55" s="7"/>
      <c r="I55" s="7"/>
      <c r="J55" s="7"/>
      <c r="K55" s="5">
        <f>SUM(COUNTIF(D55:J55,"A") + COUNTIF(D55:J55,"B")) * WORKERS!D53</f>
        <v>0</v>
      </c>
    </row>
    <row r="56" spans="2:11" ht="21" hidden="1" customHeight="1" x14ac:dyDescent="0.25">
      <c r="B56" s="5">
        <f>WORKERS!B54</f>
        <v>0</v>
      </c>
      <c r="C56" s="8">
        <f>WORKERS!C54</f>
        <v>0</v>
      </c>
      <c r="D56" s="7"/>
      <c r="E56" s="7"/>
      <c r="F56" s="7"/>
      <c r="G56" s="7"/>
      <c r="H56" s="7"/>
      <c r="I56" s="7"/>
      <c r="J56" s="7"/>
      <c r="K56" s="5">
        <f>SUM(COUNTIF(D56:J56,"A") + COUNTIF(D56:J56,"B")) * WORKERS!D54</f>
        <v>0</v>
      </c>
    </row>
    <row r="57" spans="2:11" ht="21" hidden="1" customHeight="1" x14ac:dyDescent="0.25">
      <c r="B57" s="5">
        <f>WORKERS!B55</f>
        <v>0</v>
      </c>
      <c r="C57" s="8">
        <f>WORKERS!C55</f>
        <v>0</v>
      </c>
      <c r="D57" s="7"/>
      <c r="E57" s="7"/>
      <c r="F57" s="7"/>
      <c r="G57" s="7"/>
      <c r="H57" s="7"/>
      <c r="I57" s="7"/>
      <c r="J57" s="7"/>
      <c r="K57" s="5">
        <f>SUM(COUNTIF(D57:J57,"A") + COUNTIF(D57:J57,"B")) * WORKERS!D55</f>
        <v>0</v>
      </c>
    </row>
    <row r="58" spans="2:11" ht="21" hidden="1" customHeight="1" x14ac:dyDescent="0.25">
      <c r="B58" s="5">
        <f>WORKERS!B56</f>
        <v>0</v>
      </c>
      <c r="C58" s="8">
        <f>WORKERS!C56</f>
        <v>0</v>
      </c>
      <c r="D58" s="7"/>
      <c r="E58" s="7"/>
      <c r="F58" s="7"/>
      <c r="G58" s="7"/>
      <c r="H58" s="7"/>
      <c r="I58" s="7"/>
      <c r="J58" s="7"/>
      <c r="K58" s="5">
        <f>SUM(COUNTIF(D58:J58,"A") + COUNTIF(D58:J58,"B")) * WORKERS!D56</f>
        <v>0</v>
      </c>
    </row>
    <row r="59" spans="2:11" ht="21" hidden="1" customHeight="1" x14ac:dyDescent="0.25">
      <c r="B59" s="5">
        <f>WORKERS!B57</f>
        <v>0</v>
      </c>
      <c r="C59" s="8">
        <f>WORKERS!C57</f>
        <v>0</v>
      </c>
      <c r="D59" s="7"/>
      <c r="E59" s="7"/>
      <c r="F59" s="7"/>
      <c r="G59" s="7"/>
      <c r="H59" s="7"/>
      <c r="I59" s="7"/>
      <c r="J59" s="7"/>
      <c r="K59" s="5">
        <f>SUM(COUNTIF(D59:J59,"A") + COUNTIF(D59:J59,"B")) * WORKERS!D57</f>
        <v>0</v>
      </c>
    </row>
    <row r="60" spans="2:11" ht="21" hidden="1" customHeight="1" x14ac:dyDescent="0.25">
      <c r="B60" s="5">
        <f>WORKERS!B58</f>
        <v>0</v>
      </c>
      <c r="C60" s="8">
        <f>WORKERS!C58</f>
        <v>0</v>
      </c>
      <c r="D60" s="7"/>
      <c r="E60" s="7"/>
      <c r="F60" s="7"/>
      <c r="G60" s="7"/>
      <c r="H60" s="7"/>
      <c r="I60" s="7"/>
      <c r="J60" s="7"/>
      <c r="K60" s="5">
        <f>SUM(COUNTIF(D60:J60,"A") + COUNTIF(D60:J60,"B")) * WORKERS!D58</f>
        <v>0</v>
      </c>
    </row>
    <row r="61" spans="2:11" ht="21" hidden="1" customHeight="1" x14ac:dyDescent="0.25">
      <c r="B61" s="5">
        <f>WORKERS!B59</f>
        <v>0</v>
      </c>
      <c r="C61" s="8">
        <f>WORKERS!C59</f>
        <v>0</v>
      </c>
      <c r="D61" s="7"/>
      <c r="E61" s="7"/>
      <c r="F61" s="7"/>
      <c r="G61" s="7"/>
      <c r="H61" s="7"/>
      <c r="I61" s="7"/>
      <c r="J61" s="7"/>
      <c r="K61" s="5">
        <f>SUM(COUNTIF(D61:J61,"A") + COUNTIF(D61:J61,"B")) * WORKERS!D59</f>
        <v>0</v>
      </c>
    </row>
    <row r="62" spans="2:11" ht="21" hidden="1" customHeight="1" x14ac:dyDescent="0.25">
      <c r="B62" s="5">
        <f>WORKERS!B60</f>
        <v>0</v>
      </c>
      <c r="C62" s="8">
        <f>WORKERS!C60</f>
        <v>0</v>
      </c>
      <c r="D62" s="7"/>
      <c r="E62" s="7"/>
      <c r="F62" s="7"/>
      <c r="G62" s="7"/>
      <c r="H62" s="7"/>
      <c r="I62" s="7"/>
      <c r="J62" s="7"/>
      <c r="K62" s="5">
        <f>SUM(COUNTIF(D62:J62,"A") + COUNTIF(D62:J62,"B")) * WORKERS!D60</f>
        <v>0</v>
      </c>
    </row>
    <row r="63" spans="2:11" ht="21" hidden="1" customHeight="1" x14ac:dyDescent="0.25">
      <c r="B63" s="5">
        <f>WORKERS!B61</f>
        <v>0</v>
      </c>
      <c r="C63" s="8">
        <f>WORKERS!C61</f>
        <v>0</v>
      </c>
      <c r="D63" s="7"/>
      <c r="E63" s="7"/>
      <c r="F63" s="7"/>
      <c r="G63" s="7"/>
      <c r="H63" s="7"/>
      <c r="I63" s="7"/>
      <c r="J63" s="7"/>
      <c r="K63" s="5">
        <f>SUM(COUNTIF(D63:J63,"A") + COUNTIF(D63:J63,"B")) * WORKERS!D61</f>
        <v>0</v>
      </c>
    </row>
    <row r="64" spans="2:11" ht="21" hidden="1" customHeight="1" x14ac:dyDescent="0.25">
      <c r="B64" s="5">
        <f>WORKERS!B62</f>
        <v>0</v>
      </c>
      <c r="C64" s="8">
        <f>WORKERS!C62</f>
        <v>0</v>
      </c>
      <c r="D64" s="7"/>
      <c r="E64" s="7"/>
      <c r="F64" s="7"/>
      <c r="G64" s="7"/>
      <c r="H64" s="7"/>
      <c r="I64" s="7"/>
      <c r="J64" s="7"/>
      <c r="K64" s="5">
        <f>SUM(COUNTIF(D64:J64,"A") + COUNTIF(D64:J64,"B")) * WORKERS!D62</f>
        <v>0</v>
      </c>
    </row>
    <row r="65" spans="2:11" ht="21" hidden="1" customHeight="1" x14ac:dyDescent="0.25">
      <c r="B65" s="5">
        <f>WORKERS!B63</f>
        <v>0</v>
      </c>
      <c r="C65" s="8">
        <f>WORKERS!C63</f>
        <v>0</v>
      </c>
      <c r="D65" s="7"/>
      <c r="E65" s="7"/>
      <c r="F65" s="7"/>
      <c r="G65" s="7"/>
      <c r="H65" s="7"/>
      <c r="I65" s="7"/>
      <c r="J65" s="7"/>
      <c r="K65" s="5">
        <f>SUM(COUNTIF(D65:J65,"A") + COUNTIF(D65:J65,"B")) * WORKERS!D63</f>
        <v>0</v>
      </c>
    </row>
    <row r="66" spans="2:11" ht="21" hidden="1" customHeight="1" x14ac:dyDescent="0.25">
      <c r="B66" s="5">
        <f>WORKERS!B64</f>
        <v>0</v>
      </c>
      <c r="C66" s="8">
        <f>WORKERS!C64</f>
        <v>0</v>
      </c>
      <c r="D66" s="7"/>
      <c r="E66" s="7"/>
      <c r="F66" s="7"/>
      <c r="G66" s="7"/>
      <c r="H66" s="7"/>
      <c r="I66" s="7"/>
      <c r="J66" s="7"/>
      <c r="K66" s="5">
        <f>SUM(COUNTIF(D66:J66,"A") + COUNTIF(D66:J66,"B")) * WORKERS!D64</f>
        <v>0</v>
      </c>
    </row>
    <row r="67" spans="2:11" ht="21" hidden="1" customHeight="1" x14ac:dyDescent="0.25">
      <c r="B67" s="5">
        <f>WORKERS!B65</f>
        <v>0</v>
      </c>
      <c r="C67" s="8">
        <f>WORKERS!C65</f>
        <v>0</v>
      </c>
      <c r="D67" s="7"/>
      <c r="E67" s="7"/>
      <c r="F67" s="7"/>
      <c r="G67" s="7"/>
      <c r="H67" s="7"/>
      <c r="I67" s="7"/>
      <c r="J67" s="7"/>
      <c r="K67" s="5">
        <f>SUM(COUNTIF(D67:J67,"A") + COUNTIF(D67:J67,"B")) * WORKERS!D65</f>
        <v>0</v>
      </c>
    </row>
    <row r="68" spans="2:11" ht="21" hidden="1" customHeight="1" x14ac:dyDescent="0.25">
      <c r="B68" s="5">
        <f>WORKERS!B66</f>
        <v>0</v>
      </c>
      <c r="C68" s="8">
        <f>WORKERS!C66</f>
        <v>0</v>
      </c>
      <c r="D68" s="7"/>
      <c r="E68" s="7"/>
      <c r="F68" s="7"/>
      <c r="G68" s="7"/>
      <c r="H68" s="7"/>
      <c r="I68" s="7"/>
      <c r="J68" s="7"/>
      <c r="K68" s="5">
        <f>SUM(COUNTIF(D68:J68,"A") + COUNTIF(D68:J68,"B")) * WORKERS!D66</f>
        <v>0</v>
      </c>
    </row>
    <row r="69" spans="2:11" ht="21" hidden="1" customHeight="1" x14ac:dyDescent="0.25">
      <c r="B69" s="5">
        <f>WORKERS!B67</f>
        <v>0</v>
      </c>
      <c r="C69" s="8">
        <f>WORKERS!C67</f>
        <v>0</v>
      </c>
      <c r="D69" s="7"/>
      <c r="E69" s="7"/>
      <c r="F69" s="7"/>
      <c r="G69" s="7"/>
      <c r="H69" s="7"/>
      <c r="I69" s="7"/>
      <c r="J69" s="7"/>
      <c r="K69" s="5">
        <f>SUM(COUNTIF(D69:J69,"A") + COUNTIF(D69:J69,"B")) * WORKERS!D67</f>
        <v>0</v>
      </c>
    </row>
    <row r="70" spans="2:11" ht="21" hidden="1" customHeight="1" x14ac:dyDescent="0.25">
      <c r="B70" s="5">
        <f>WORKERS!B68</f>
        <v>0</v>
      </c>
      <c r="C70" s="8">
        <f>WORKERS!C68</f>
        <v>0</v>
      </c>
      <c r="D70" s="7"/>
      <c r="E70" s="7"/>
      <c r="F70" s="7"/>
      <c r="G70" s="7"/>
      <c r="H70" s="7"/>
      <c r="I70" s="7"/>
      <c r="J70" s="7"/>
      <c r="K70" s="5">
        <f>SUM(COUNTIF(D70:J70,"A") + COUNTIF(D70:J70,"B")) * WORKERS!D68</f>
        <v>0</v>
      </c>
    </row>
    <row r="71" spans="2:11" ht="21" hidden="1" customHeight="1" x14ac:dyDescent="0.25">
      <c r="B71" s="5">
        <f>WORKERS!B69</f>
        <v>0</v>
      </c>
      <c r="C71" s="8">
        <f>WORKERS!C69</f>
        <v>0</v>
      </c>
      <c r="D71" s="7"/>
      <c r="E71" s="7"/>
      <c r="F71" s="7"/>
      <c r="G71" s="7"/>
      <c r="H71" s="7"/>
      <c r="I71" s="7"/>
      <c r="J71" s="7"/>
      <c r="K71" s="5">
        <f>SUM(COUNTIF(D71:J71,"A") + COUNTIF(D71:J71,"B")) * WORKERS!D69</f>
        <v>0</v>
      </c>
    </row>
    <row r="72" spans="2:11" ht="21" hidden="1" customHeight="1" x14ac:dyDescent="0.25">
      <c r="B72" s="5">
        <f>WORKERS!B70</f>
        <v>0</v>
      </c>
      <c r="C72" s="8">
        <f>WORKERS!C70</f>
        <v>0</v>
      </c>
      <c r="D72" s="7"/>
      <c r="E72" s="7"/>
      <c r="F72" s="7"/>
      <c r="G72" s="7"/>
      <c r="H72" s="7"/>
      <c r="I72" s="7"/>
      <c r="J72" s="7"/>
      <c r="K72" s="5">
        <f>SUM(COUNTIF(D72:J72,"A") + COUNTIF(D72:J72,"B")) * WORKERS!D70</f>
        <v>0</v>
      </c>
    </row>
    <row r="73" spans="2:11" ht="21" hidden="1" customHeight="1" x14ac:dyDescent="0.25">
      <c r="B73" s="5">
        <f>WORKERS!B71</f>
        <v>0</v>
      </c>
      <c r="C73" s="8">
        <f>WORKERS!C71</f>
        <v>0</v>
      </c>
      <c r="D73" s="7"/>
      <c r="E73" s="7"/>
      <c r="F73" s="7"/>
      <c r="G73" s="7"/>
      <c r="H73" s="7"/>
      <c r="I73" s="7"/>
      <c r="J73" s="7"/>
      <c r="K73" s="5">
        <f>SUM(COUNTIF(D73:J73,"A") + COUNTIF(D73:J73,"B")) * WORKERS!D71</f>
        <v>0</v>
      </c>
    </row>
    <row r="74" spans="2:11" ht="21" customHeight="1" x14ac:dyDescent="0.25">
      <c r="B74" s="39" t="s">
        <v>59</v>
      </c>
      <c r="C74" s="40"/>
      <c r="D74" s="6">
        <f>COUNTIF(D6:D73, "A") + COUNTIF(D6:D73, "B")</f>
        <v>0</v>
      </c>
      <c r="E74" s="6">
        <f t="shared" ref="E74:J74" si="0">COUNTIF(E6:E73, "A") + COUNTIF(E6:E73, "B")</f>
        <v>5</v>
      </c>
      <c r="F74" s="6">
        <f t="shared" si="0"/>
        <v>0</v>
      </c>
      <c r="G74" s="6">
        <f t="shared" si="0"/>
        <v>0</v>
      </c>
      <c r="H74" s="6">
        <f t="shared" si="0"/>
        <v>0</v>
      </c>
      <c r="I74" s="6">
        <f t="shared" si="0"/>
        <v>0</v>
      </c>
      <c r="J74" s="6">
        <f t="shared" si="0"/>
        <v>0</v>
      </c>
      <c r="K74" s="41">
        <f>SUM(K6:K73)</f>
        <v>3766.6800000000003</v>
      </c>
    </row>
    <row r="75" spans="2:11" ht="21" x14ac:dyDescent="0.35">
      <c r="C75" s="9"/>
      <c r="H75" s="65" t="s">
        <v>61</v>
      </c>
      <c r="I75" s="65"/>
      <c r="J75" s="65"/>
      <c r="K75" s="66">
        <v>20</v>
      </c>
    </row>
    <row r="76" spans="2:11" ht="36" customHeight="1" x14ac:dyDescent="0.35">
      <c r="H76" s="67" t="s">
        <v>69</v>
      </c>
      <c r="I76" s="68" t="s">
        <v>67</v>
      </c>
      <c r="J76" s="69"/>
      <c r="K76" s="76">
        <f>(K74+'SAW DUST MACHINE'!K74+DRIER!K74)/K75</f>
        <v>188.334</v>
      </c>
    </row>
    <row r="79" spans="2:11" x14ac:dyDescent="0.25">
      <c r="G79" s="51"/>
    </row>
  </sheetData>
  <mergeCells count="8">
    <mergeCell ref="B74:C74"/>
    <mergeCell ref="H75:J75"/>
    <mergeCell ref="B2:J3"/>
    <mergeCell ref="I76:J76"/>
    <mergeCell ref="B4:B5"/>
    <mergeCell ref="C4:C5"/>
    <mergeCell ref="D4:J4"/>
    <mergeCell ref="K4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5CBB-82EB-4B73-A802-EF5EE9BAF841}">
  <dimension ref="B2:K76"/>
  <sheetViews>
    <sheetView topLeftCell="A4" workbookViewId="0">
      <selection activeCell="D5" sqref="D5"/>
    </sheetView>
  </sheetViews>
  <sheetFormatPr defaultRowHeight="15" x14ac:dyDescent="0.25"/>
  <cols>
    <col min="2" max="2" width="9.140625" style="4"/>
    <col min="3" max="3" width="27.140625" customWidth="1"/>
    <col min="4" max="10" width="13.28515625" style="3" customWidth="1"/>
    <col min="11" max="11" width="26.140625" style="3" customWidth="1"/>
  </cols>
  <sheetData>
    <row r="2" spans="2:11" ht="14.25" customHeight="1" x14ac:dyDescent="0.25">
      <c r="B2" s="43" t="s">
        <v>64</v>
      </c>
      <c r="C2" s="43"/>
      <c r="D2" s="43"/>
      <c r="E2" s="43"/>
      <c r="F2" s="43"/>
      <c r="G2" s="43"/>
      <c r="H2" s="43"/>
      <c r="I2" s="43"/>
      <c r="J2" s="44"/>
      <c r="K2" s="45" t="s">
        <v>63</v>
      </c>
    </row>
    <row r="3" spans="2:11" ht="17.25" customHeight="1" x14ac:dyDescent="0.25">
      <c r="B3" s="43"/>
      <c r="C3" s="43"/>
      <c r="D3" s="43"/>
      <c r="E3" s="43"/>
      <c r="F3" s="43"/>
      <c r="G3" s="43"/>
      <c r="H3" s="43"/>
      <c r="I3" s="43"/>
      <c r="J3" s="44"/>
      <c r="K3" s="46">
        <v>45857</v>
      </c>
    </row>
    <row r="4" spans="2:11" ht="15.75" x14ac:dyDescent="0.25">
      <c r="B4" s="29" t="s">
        <v>39</v>
      </c>
      <c r="C4" s="29" t="s">
        <v>29</v>
      </c>
      <c r="D4" s="28" t="s">
        <v>70</v>
      </c>
      <c r="E4" s="28"/>
      <c r="F4" s="28"/>
      <c r="G4" s="28"/>
      <c r="H4" s="28"/>
      <c r="I4" s="28"/>
      <c r="J4" s="28"/>
      <c r="K4" s="29" t="s">
        <v>50</v>
      </c>
    </row>
    <row r="5" spans="2:11" ht="15.75" x14ac:dyDescent="0.25">
      <c r="B5" s="29"/>
      <c r="C5" s="29"/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29"/>
    </row>
    <row r="6" spans="2:11" ht="21" customHeight="1" x14ac:dyDescent="0.25">
      <c r="B6" s="5">
        <f>WORKERS!B4</f>
        <v>1</v>
      </c>
      <c r="C6" s="8" t="str">
        <f>WORKERS!C4</f>
        <v>T.DILLESWAR RAO</v>
      </c>
      <c r="D6" s="7"/>
      <c r="E6" s="7"/>
      <c r="F6" s="7"/>
      <c r="G6" s="7"/>
      <c r="H6" s="7"/>
      <c r="I6" s="7"/>
      <c r="J6" s="7"/>
      <c r="K6" s="5">
        <f>SUM(COUNTIF(D6:J6,"A") + COUNTIF(D6:J6,"B")) * WORKERS!D4</f>
        <v>0</v>
      </c>
    </row>
    <row r="7" spans="2:11" ht="21" customHeight="1" x14ac:dyDescent="0.25">
      <c r="B7" s="5">
        <f>WORKERS!B5</f>
        <v>2</v>
      </c>
      <c r="C7" s="8" t="str">
        <f>WORKERS!C5</f>
        <v>KUNJABIHARI MAJHI</v>
      </c>
      <c r="D7" s="7"/>
      <c r="E7" s="7"/>
      <c r="F7" s="7"/>
      <c r="G7" s="7"/>
      <c r="H7" s="7"/>
      <c r="I7" s="7"/>
      <c r="J7" s="7"/>
      <c r="K7" s="5">
        <f>SUM(COUNTIF(D7:J7,"A") + COUNTIF(D7:J7,"B")) * WORKERS!D5</f>
        <v>0</v>
      </c>
    </row>
    <row r="8" spans="2:11" ht="21" customHeight="1" x14ac:dyDescent="0.25">
      <c r="B8" s="5">
        <f>WORKERS!B6</f>
        <v>3</v>
      </c>
      <c r="C8" s="8" t="str">
        <f>WORKERS!C6</f>
        <v>SUBHAS MAJHI</v>
      </c>
      <c r="D8" s="7"/>
      <c r="E8" s="7"/>
      <c r="F8" s="7"/>
      <c r="G8" s="7"/>
      <c r="H8" s="7"/>
      <c r="I8" s="7"/>
      <c r="J8" s="7"/>
      <c r="K8" s="5">
        <f>SUM(COUNTIF(D8:J8,"A") + COUNTIF(D8:J8,"B")) * WORKERS!D6</f>
        <v>0</v>
      </c>
    </row>
    <row r="9" spans="2:11" ht="21" customHeight="1" x14ac:dyDescent="0.25">
      <c r="B9" s="5">
        <f>WORKERS!B7</f>
        <v>4</v>
      </c>
      <c r="C9" s="8" t="str">
        <f>WORKERS!C7</f>
        <v>MOHITH</v>
      </c>
      <c r="D9" s="7"/>
      <c r="E9" s="7"/>
      <c r="F9" s="7"/>
      <c r="G9" s="7"/>
      <c r="H9" s="7"/>
      <c r="I9" s="7"/>
      <c r="J9" s="7"/>
      <c r="K9" s="5">
        <f>SUM(COUNTIF(D9:J9,"A") + COUNTIF(D9:J9,"B")) * WORKERS!D7</f>
        <v>0</v>
      </c>
    </row>
    <row r="10" spans="2:11" ht="21" customHeight="1" x14ac:dyDescent="0.25">
      <c r="B10" s="5">
        <f>WORKERS!B8</f>
        <v>5</v>
      </c>
      <c r="C10" s="8" t="str">
        <f>WORKERS!C8</f>
        <v>BIJAY MAJHI</v>
      </c>
      <c r="D10" s="7"/>
      <c r="E10" s="7"/>
      <c r="F10" s="7"/>
      <c r="G10" s="7"/>
      <c r="H10" s="7"/>
      <c r="I10" s="7"/>
      <c r="J10" s="7"/>
      <c r="K10" s="5">
        <f>SUM(COUNTIF(D10:J10,"A") + COUNTIF(D10:J10,"B")) * WORKERS!D8</f>
        <v>0</v>
      </c>
    </row>
    <row r="11" spans="2:11" ht="21" customHeight="1" x14ac:dyDescent="0.25">
      <c r="B11" s="5">
        <f>WORKERS!B9</f>
        <v>6</v>
      </c>
      <c r="C11" s="8" t="str">
        <f>WORKERS!C9</f>
        <v>BASANTA MAJHI</v>
      </c>
      <c r="D11" s="7"/>
      <c r="E11" s="7"/>
      <c r="F11" s="7"/>
      <c r="G11" s="7"/>
      <c r="H11" s="7"/>
      <c r="I11" s="7"/>
      <c r="J11" s="7"/>
      <c r="K11" s="5">
        <f>SUM(COUNTIF(D11:J11,"A") + COUNTIF(D11:J11,"B")) * WORKERS!D9</f>
        <v>0</v>
      </c>
    </row>
    <row r="12" spans="2:11" ht="21" customHeight="1" x14ac:dyDescent="0.25">
      <c r="B12" s="5">
        <f>WORKERS!B10</f>
        <v>7</v>
      </c>
      <c r="C12" s="8" t="str">
        <f>WORKERS!C10</f>
        <v>ROHITH MAJHI</v>
      </c>
      <c r="D12" s="7"/>
      <c r="E12" s="7"/>
      <c r="F12" s="7"/>
      <c r="G12" s="7"/>
      <c r="H12" s="7"/>
      <c r="I12" s="7"/>
      <c r="J12" s="7"/>
      <c r="K12" s="5">
        <f>SUM(COUNTIF(D12:J12,"A") + COUNTIF(D12:J12,"B")) * WORKERS!D10</f>
        <v>0</v>
      </c>
    </row>
    <row r="13" spans="2:11" ht="21" customHeight="1" x14ac:dyDescent="0.25">
      <c r="B13" s="5">
        <f>WORKERS!B11</f>
        <v>8</v>
      </c>
      <c r="C13" s="8" t="str">
        <f>WORKERS!C11</f>
        <v>JANMENJAYA BHOI</v>
      </c>
      <c r="D13" s="7"/>
      <c r="E13" s="7"/>
      <c r="F13" s="7"/>
      <c r="G13" s="7"/>
      <c r="H13" s="7"/>
      <c r="I13" s="7"/>
      <c r="J13" s="7"/>
      <c r="K13" s="5">
        <f>SUM(COUNTIF(D13:J13,"A") + COUNTIF(D13:J13,"B")) * WORKERS!D11</f>
        <v>0</v>
      </c>
    </row>
    <row r="14" spans="2:11" ht="21" customHeight="1" x14ac:dyDescent="0.25">
      <c r="B14" s="5">
        <f>WORKERS!B12</f>
        <v>9</v>
      </c>
      <c r="C14" s="8" t="str">
        <f>WORKERS!C12</f>
        <v>PURAUSTAM BANCHOR</v>
      </c>
      <c r="D14" s="7"/>
      <c r="E14" s="7"/>
      <c r="F14" s="7"/>
      <c r="G14" s="7"/>
      <c r="H14" s="7"/>
      <c r="I14" s="7"/>
      <c r="J14" s="7"/>
      <c r="K14" s="5">
        <f>SUM(COUNTIF(D14:J14,"A") + COUNTIF(D14:J14,"B")) * WORKERS!D12</f>
        <v>0</v>
      </c>
    </row>
    <row r="15" spans="2:11" ht="21" customHeight="1" x14ac:dyDescent="0.25">
      <c r="B15" s="5">
        <f>WORKERS!B13</f>
        <v>10</v>
      </c>
      <c r="C15" s="8" t="str">
        <f>WORKERS!C13</f>
        <v>THABIR GOUD</v>
      </c>
      <c r="D15" s="7"/>
      <c r="E15" s="7"/>
      <c r="F15" s="7"/>
      <c r="G15" s="7"/>
      <c r="H15" s="7"/>
      <c r="I15" s="7"/>
      <c r="J15" s="7"/>
      <c r="K15" s="5">
        <f>SUM(COUNTIF(D15:J15,"A") + COUNTIF(D15:J15,"B")) * WORKERS!D13</f>
        <v>0</v>
      </c>
    </row>
    <row r="16" spans="2:11" ht="21" customHeight="1" x14ac:dyDescent="0.25">
      <c r="B16" s="5">
        <f>WORKERS!B14</f>
        <v>11</v>
      </c>
      <c r="C16" s="8" t="str">
        <f>WORKERS!C14</f>
        <v>SARATH</v>
      </c>
      <c r="D16" s="7"/>
      <c r="E16" s="7"/>
      <c r="F16" s="7"/>
      <c r="G16" s="7"/>
      <c r="H16" s="7"/>
      <c r="I16" s="7"/>
      <c r="J16" s="7"/>
      <c r="K16" s="5">
        <f>SUM(COUNTIF(D16:J16,"A") + COUNTIF(D16:J16,"B")) * WORKERS!D14</f>
        <v>0</v>
      </c>
    </row>
    <row r="17" spans="2:11" ht="21" customHeight="1" x14ac:dyDescent="0.25">
      <c r="B17" s="5">
        <f>WORKERS!B15</f>
        <v>12</v>
      </c>
      <c r="C17" s="8" t="str">
        <f>WORKERS!C15</f>
        <v>ANIL MAJHI</v>
      </c>
      <c r="D17" s="7"/>
      <c r="E17" s="7"/>
      <c r="F17" s="7"/>
      <c r="G17" s="7"/>
      <c r="H17" s="7"/>
      <c r="I17" s="7"/>
      <c r="J17" s="7"/>
      <c r="K17" s="5">
        <f>SUM(COUNTIF(D17:J17,"A") + COUNTIF(D17:J17,"B")) * WORKERS!D15</f>
        <v>0</v>
      </c>
    </row>
    <row r="18" spans="2:11" ht="21" customHeight="1" x14ac:dyDescent="0.25">
      <c r="B18" s="5">
        <f>WORKERS!B16</f>
        <v>13</v>
      </c>
      <c r="C18" s="8" t="str">
        <f>WORKERS!C16</f>
        <v>RASIKA GOUD</v>
      </c>
      <c r="D18" s="7"/>
      <c r="E18" s="7"/>
      <c r="F18" s="7"/>
      <c r="G18" s="7"/>
      <c r="H18" s="7"/>
      <c r="I18" s="7"/>
      <c r="J18" s="7"/>
      <c r="K18" s="5">
        <f>SUM(COUNTIF(D18:J18,"A") + COUNTIF(D18:J18,"B")) * WORKERS!D16</f>
        <v>0</v>
      </c>
    </row>
    <row r="19" spans="2:11" ht="21" customHeight="1" x14ac:dyDescent="0.25">
      <c r="B19" s="5">
        <f>WORKERS!B17</f>
        <v>14</v>
      </c>
      <c r="C19" s="8" t="str">
        <f>WORKERS!C17</f>
        <v>PARMANANDA BANCHOR</v>
      </c>
      <c r="D19" s="7"/>
      <c r="E19" s="7"/>
      <c r="F19" s="7"/>
      <c r="G19" s="7"/>
      <c r="H19" s="7"/>
      <c r="I19" s="7"/>
      <c r="J19" s="7"/>
      <c r="K19" s="5">
        <f>SUM(COUNTIF(D19:J19,"A") + COUNTIF(D19:J19,"B")) * WORKERS!D17</f>
        <v>0</v>
      </c>
    </row>
    <row r="20" spans="2:11" ht="21" customHeight="1" x14ac:dyDescent="0.25">
      <c r="B20" s="5">
        <f>WORKERS!B18</f>
        <v>15</v>
      </c>
      <c r="C20" s="8" t="str">
        <f>WORKERS!C18</f>
        <v>LINGRAJ PODH</v>
      </c>
      <c r="D20" s="7"/>
      <c r="E20" s="7"/>
      <c r="F20" s="7"/>
      <c r="G20" s="7"/>
      <c r="H20" s="7"/>
      <c r="I20" s="7"/>
      <c r="J20" s="7"/>
      <c r="K20" s="5">
        <f>SUM(COUNTIF(D20:J20,"A") + COUNTIF(D20:J20,"B")) * WORKERS!D18</f>
        <v>0</v>
      </c>
    </row>
    <row r="21" spans="2:11" ht="21" customHeight="1" x14ac:dyDescent="0.25">
      <c r="B21" s="5">
        <f>WORKERS!B19</f>
        <v>16</v>
      </c>
      <c r="C21" s="8" t="str">
        <f>WORKERS!C19</f>
        <v>RAMAKANTA BANCHOR</v>
      </c>
      <c r="D21" s="7"/>
      <c r="E21" s="7"/>
      <c r="F21" s="7"/>
      <c r="G21" s="7"/>
      <c r="H21" s="7"/>
      <c r="I21" s="7"/>
      <c r="J21" s="7"/>
      <c r="K21" s="5">
        <f>SUM(COUNTIF(D21:J21,"A") + COUNTIF(D21:J21,"B")) * WORKERS!D19</f>
        <v>0</v>
      </c>
    </row>
    <row r="22" spans="2:11" ht="21" customHeight="1" x14ac:dyDescent="0.25">
      <c r="B22" s="5">
        <f>WORKERS!B20</f>
        <v>17</v>
      </c>
      <c r="C22" s="8" t="str">
        <f>WORKERS!C20</f>
        <v>RUSHIBHOI</v>
      </c>
      <c r="D22" s="7"/>
      <c r="E22" s="7"/>
      <c r="F22" s="7"/>
      <c r="G22" s="7"/>
      <c r="H22" s="7"/>
      <c r="I22" s="7"/>
      <c r="J22" s="7"/>
      <c r="K22" s="5">
        <f>SUM(COUNTIF(D22:J22,"A") + COUNTIF(D22:J22,"B")) * WORKERS!D20</f>
        <v>0</v>
      </c>
    </row>
    <row r="23" spans="2:11" ht="21" customHeight="1" x14ac:dyDescent="0.25">
      <c r="B23" s="5">
        <f>WORKERS!B21</f>
        <v>18</v>
      </c>
      <c r="C23" s="8" t="str">
        <f>WORKERS!C21</f>
        <v>VIJAY BHOI</v>
      </c>
      <c r="D23" s="7"/>
      <c r="E23" s="7"/>
      <c r="F23" s="7"/>
      <c r="G23" s="7"/>
      <c r="H23" s="7"/>
      <c r="I23" s="7"/>
      <c r="J23" s="7"/>
      <c r="K23" s="5">
        <f>SUM(COUNTIF(D23:J23,"A") + COUNTIF(D23:J23,"B")) * WORKERS!D21</f>
        <v>0</v>
      </c>
    </row>
    <row r="24" spans="2:11" ht="21" customHeight="1" x14ac:dyDescent="0.25">
      <c r="B24" s="5">
        <f>WORKERS!B22</f>
        <v>19</v>
      </c>
      <c r="C24" s="8" t="str">
        <f>WORKERS!C22</f>
        <v>JAGATHRAY KANTERI</v>
      </c>
      <c r="D24" s="7"/>
      <c r="E24" s="7"/>
      <c r="F24" s="7"/>
      <c r="G24" s="7"/>
      <c r="H24" s="7"/>
      <c r="I24" s="7"/>
      <c r="J24" s="7"/>
      <c r="K24" s="5">
        <f>SUM(COUNTIF(D24:J24,"A") + COUNTIF(D24:J24,"B")) * WORKERS!D22</f>
        <v>0</v>
      </c>
    </row>
    <row r="25" spans="2:11" ht="21" customHeight="1" x14ac:dyDescent="0.25">
      <c r="B25" s="5">
        <f>WORKERS!B23</f>
        <v>20</v>
      </c>
      <c r="C25" s="8" t="str">
        <f>WORKERS!C23</f>
        <v>KAILASH</v>
      </c>
      <c r="D25" s="7"/>
      <c r="E25" s="7"/>
      <c r="F25" s="7"/>
      <c r="G25" s="7"/>
      <c r="H25" s="7"/>
      <c r="I25" s="7"/>
      <c r="J25" s="7"/>
      <c r="K25" s="5">
        <f>SUM(COUNTIF(D25:J25,"A") + COUNTIF(D25:J25,"B")) * WORKERS!D23</f>
        <v>0</v>
      </c>
    </row>
    <row r="26" spans="2:11" ht="21" customHeight="1" x14ac:dyDescent="0.25">
      <c r="B26" s="5">
        <f>WORKERS!B24</f>
        <v>21</v>
      </c>
      <c r="C26" s="8" t="str">
        <f>WORKERS!C24</f>
        <v>PRASHANTH</v>
      </c>
      <c r="D26" s="7"/>
      <c r="E26" s="7"/>
      <c r="F26" s="7"/>
      <c r="G26" s="7"/>
      <c r="H26" s="7"/>
      <c r="I26" s="7"/>
      <c r="J26" s="7"/>
      <c r="K26" s="5">
        <f>SUM(COUNTIF(D26:J26,"A") + COUNTIF(D26:J26,"B")) * WORKERS!D24</f>
        <v>0</v>
      </c>
    </row>
    <row r="27" spans="2:11" ht="21" customHeight="1" x14ac:dyDescent="0.25">
      <c r="B27" s="5">
        <f>WORKERS!B25</f>
        <v>22</v>
      </c>
      <c r="C27" s="8" t="str">
        <f>WORKERS!C25</f>
        <v>KESAV TILI</v>
      </c>
      <c r="D27" s="7"/>
      <c r="E27" s="7"/>
      <c r="F27" s="7"/>
      <c r="G27" s="7"/>
      <c r="H27" s="7"/>
      <c r="I27" s="7"/>
      <c r="J27" s="7"/>
      <c r="K27" s="5">
        <f>SUM(COUNTIF(D27:J27,"A") + COUNTIF(D27:J27,"B")) * WORKERS!D25</f>
        <v>0</v>
      </c>
    </row>
    <row r="28" spans="2:11" ht="21" customHeight="1" x14ac:dyDescent="0.25">
      <c r="B28" s="5">
        <f>WORKERS!B26</f>
        <v>23</v>
      </c>
      <c r="C28" s="8" t="str">
        <f>WORKERS!C26</f>
        <v xml:space="preserve">JAGADISH </v>
      </c>
      <c r="D28" s="7"/>
      <c r="E28" s="7"/>
      <c r="F28" s="7"/>
      <c r="G28" s="7"/>
      <c r="H28" s="7"/>
      <c r="I28" s="7"/>
      <c r="J28" s="7"/>
      <c r="K28" s="5">
        <f>SUM(COUNTIF(D28:J28,"A") + COUNTIF(D28:J28,"B")) * WORKERS!D26</f>
        <v>0</v>
      </c>
    </row>
    <row r="29" spans="2:11" ht="21" customHeight="1" x14ac:dyDescent="0.25">
      <c r="B29" s="5">
        <f>WORKERS!B27</f>
        <v>24</v>
      </c>
      <c r="C29" s="8" t="str">
        <f>WORKERS!C27</f>
        <v>LAXMIDHAR DORA</v>
      </c>
      <c r="D29" s="7"/>
      <c r="E29" s="7"/>
      <c r="F29" s="7"/>
      <c r="G29" s="7"/>
      <c r="H29" s="7"/>
      <c r="I29" s="7"/>
      <c r="J29" s="7"/>
      <c r="K29" s="5">
        <f>SUM(COUNTIF(D29:J29,"A") + COUNTIF(D29:J29,"B")) * WORKERS!D27</f>
        <v>0</v>
      </c>
    </row>
    <row r="30" spans="2:11" ht="21" customHeight="1" x14ac:dyDescent="0.25">
      <c r="B30" s="5">
        <f>WORKERS!B28</f>
        <v>25</v>
      </c>
      <c r="C30" s="8" t="str">
        <f>WORKERS!C28</f>
        <v>ANAND</v>
      </c>
      <c r="D30" s="7"/>
      <c r="E30" s="7"/>
      <c r="F30" s="7"/>
      <c r="G30" s="7"/>
      <c r="H30" s="7"/>
      <c r="I30" s="7"/>
      <c r="J30" s="7"/>
      <c r="K30" s="5">
        <f>SUM(COUNTIF(D30:J30,"A") + COUNTIF(D30:J30,"B")) * WORKERS!D28</f>
        <v>0</v>
      </c>
    </row>
    <row r="31" spans="2:11" ht="21" customHeight="1" x14ac:dyDescent="0.25">
      <c r="B31" s="5">
        <f>WORKERS!B29</f>
        <v>26</v>
      </c>
      <c r="C31" s="8" t="str">
        <f>WORKERS!C29</f>
        <v>TRILOCHAN</v>
      </c>
      <c r="D31" s="7"/>
      <c r="E31" s="7"/>
      <c r="F31" s="7"/>
      <c r="G31" s="7"/>
      <c r="H31" s="7"/>
      <c r="I31" s="7"/>
      <c r="J31" s="7"/>
      <c r="K31" s="5">
        <f>SUM(COUNTIF(D31:J31,"A") + COUNTIF(D31:J31,"B")) * WORKERS!D29</f>
        <v>0</v>
      </c>
    </row>
    <row r="32" spans="2:11" ht="21" customHeight="1" x14ac:dyDescent="0.25">
      <c r="B32" s="5">
        <f>WORKERS!B30</f>
        <v>27</v>
      </c>
      <c r="C32" s="8" t="str">
        <f>WORKERS!C30</f>
        <v>GULUK VRYANG</v>
      </c>
      <c r="D32" s="7"/>
      <c r="E32" s="7"/>
      <c r="F32" s="7"/>
      <c r="G32" s="7"/>
      <c r="H32" s="7"/>
      <c r="I32" s="7"/>
      <c r="J32" s="7"/>
      <c r="K32" s="5">
        <f>SUM(COUNTIF(D32:J32,"A") + COUNTIF(D32:J32,"B")) * WORKERS!D30</f>
        <v>0</v>
      </c>
    </row>
    <row r="33" spans="2:11" ht="21" customHeight="1" x14ac:dyDescent="0.25">
      <c r="B33" s="5">
        <f>WORKERS!B31</f>
        <v>28</v>
      </c>
      <c r="C33" s="8" t="str">
        <f>WORKERS!C31</f>
        <v>BALABHADRA DORA</v>
      </c>
      <c r="D33" s="7"/>
      <c r="E33" s="7"/>
      <c r="F33" s="7"/>
      <c r="G33" s="7"/>
      <c r="H33" s="7"/>
      <c r="I33" s="7"/>
      <c r="J33" s="7"/>
      <c r="K33" s="5">
        <f>SUM(COUNTIF(D33:J33,"A") + COUNTIF(D33:J33,"B")) * WORKERS!D31</f>
        <v>0</v>
      </c>
    </row>
    <row r="34" spans="2:11" ht="21" customHeight="1" x14ac:dyDescent="0.25">
      <c r="B34" s="5">
        <f>WORKERS!B32</f>
        <v>29</v>
      </c>
      <c r="C34" s="8" t="str">
        <f>WORKERS!C32</f>
        <v>RANJITH</v>
      </c>
      <c r="D34" s="7"/>
      <c r="E34" s="7"/>
      <c r="F34" s="7"/>
      <c r="G34" s="7"/>
      <c r="H34" s="7"/>
      <c r="I34" s="7"/>
      <c r="J34" s="7"/>
      <c r="K34" s="5">
        <f>SUM(COUNTIF(D34:J34,"A") + COUNTIF(D34:J34,"B")) * WORKERS!D32</f>
        <v>0</v>
      </c>
    </row>
    <row r="35" spans="2:11" ht="21" customHeight="1" x14ac:dyDescent="0.25">
      <c r="B35" s="5">
        <f>WORKERS!B33</f>
        <v>30</v>
      </c>
      <c r="C35" s="8" t="str">
        <f>WORKERS!C33</f>
        <v>JAGADISH DORA</v>
      </c>
      <c r="D35" s="7"/>
      <c r="E35" s="7"/>
      <c r="F35" s="7"/>
      <c r="G35" s="7"/>
      <c r="H35" s="7"/>
      <c r="I35" s="7"/>
      <c r="J35" s="7"/>
      <c r="K35" s="5">
        <f>SUM(COUNTIF(D35:J35,"A") + COUNTIF(D35:J35,"B")) * WORKERS!D33</f>
        <v>0</v>
      </c>
    </row>
    <row r="36" spans="2:11" ht="21" customHeight="1" x14ac:dyDescent="0.25">
      <c r="B36" s="5">
        <f>WORKERS!B34</f>
        <v>31</v>
      </c>
      <c r="C36" s="8" t="str">
        <f>WORKERS!C34</f>
        <v>MUNNA</v>
      </c>
      <c r="D36" s="7"/>
      <c r="E36" s="7"/>
      <c r="F36" s="7"/>
      <c r="G36" s="7"/>
      <c r="H36" s="7"/>
      <c r="I36" s="7"/>
      <c r="J36" s="7"/>
      <c r="K36" s="5">
        <f>SUM(COUNTIF(D36:J36,"A") + COUNTIF(D36:J36,"B")) * WORKERS!D34</f>
        <v>0</v>
      </c>
    </row>
    <row r="37" spans="2:11" ht="21" customHeight="1" x14ac:dyDescent="0.25">
      <c r="B37" s="5">
        <f>WORKERS!B35</f>
        <v>32</v>
      </c>
      <c r="C37" s="8" t="str">
        <f>WORKERS!C35</f>
        <v>DEVI</v>
      </c>
      <c r="D37" s="7"/>
      <c r="E37" s="7"/>
      <c r="F37" s="7"/>
      <c r="G37" s="7"/>
      <c r="H37" s="7"/>
      <c r="I37" s="7"/>
      <c r="J37" s="7"/>
      <c r="K37" s="5">
        <f>SUM(COUNTIF(D37:J37,"A") + COUNTIF(D37:J37,"B")) * WORKERS!D35</f>
        <v>0</v>
      </c>
    </row>
    <row r="38" spans="2:11" ht="21" customHeight="1" x14ac:dyDescent="0.25">
      <c r="B38" s="5">
        <f>WORKERS!B36</f>
        <v>33</v>
      </c>
      <c r="C38" s="8" t="str">
        <f>WORKERS!C36</f>
        <v>KONDAMMA</v>
      </c>
      <c r="D38" s="7"/>
      <c r="E38" s="7"/>
      <c r="F38" s="7"/>
      <c r="G38" s="7"/>
      <c r="H38" s="7"/>
      <c r="I38" s="7"/>
      <c r="J38" s="7"/>
      <c r="K38" s="5">
        <f>SUM(COUNTIF(D38:J38,"A") + COUNTIF(D38:J38,"B")) * WORKERS!D36</f>
        <v>0</v>
      </c>
    </row>
    <row r="39" spans="2:11" ht="21" customHeight="1" x14ac:dyDescent="0.25">
      <c r="B39" s="5">
        <f>WORKERS!B37</f>
        <v>34</v>
      </c>
      <c r="C39" s="8" t="str">
        <f>WORKERS!C37</f>
        <v>YERNAMMA</v>
      </c>
      <c r="D39" s="7"/>
      <c r="E39" s="7"/>
      <c r="F39" s="7"/>
      <c r="G39" s="7"/>
      <c r="H39" s="7"/>
      <c r="I39" s="7"/>
      <c r="J39" s="7"/>
      <c r="K39" s="5">
        <f>SUM(COUNTIF(D39:J39,"A") + COUNTIF(D39:J39,"B")) * WORKERS!D37</f>
        <v>0</v>
      </c>
    </row>
    <row r="40" spans="2:11" ht="21" customHeight="1" x14ac:dyDescent="0.25">
      <c r="B40" s="5">
        <f>WORKERS!B38</f>
        <v>35</v>
      </c>
      <c r="C40" s="8" t="str">
        <f>WORKERS!C38</f>
        <v>RAJENDRA DORA</v>
      </c>
      <c r="D40" s="7"/>
      <c r="E40" s="7"/>
      <c r="F40" s="7"/>
      <c r="G40" s="7"/>
      <c r="H40" s="7"/>
      <c r="I40" s="7"/>
      <c r="J40" s="7"/>
      <c r="K40" s="5">
        <f>SUM(COUNTIF(D40:J40,"A") + COUNTIF(D40:J40,"B")) * WORKERS!D38</f>
        <v>0</v>
      </c>
    </row>
    <row r="41" spans="2:11" ht="21" hidden="1" customHeight="1" x14ac:dyDescent="0.25">
      <c r="B41" s="5">
        <f>WORKERS!B39</f>
        <v>0</v>
      </c>
      <c r="C41" s="8">
        <f>WORKERS!C39</f>
        <v>0</v>
      </c>
      <c r="D41" s="7"/>
      <c r="E41" s="7"/>
      <c r="F41" s="7"/>
      <c r="G41" s="7"/>
      <c r="H41" s="7"/>
      <c r="I41" s="7"/>
      <c r="J41" s="7"/>
      <c r="K41" s="5">
        <f>SUM(COUNTIF(D41:J41,"A") + COUNTIF(D41:J41,"B")) * WORKERS!D39</f>
        <v>0</v>
      </c>
    </row>
    <row r="42" spans="2:11" ht="21" hidden="1" customHeight="1" x14ac:dyDescent="0.25">
      <c r="B42" s="5">
        <f>WORKERS!B40</f>
        <v>0</v>
      </c>
      <c r="C42" s="8">
        <f>WORKERS!C40</f>
        <v>0</v>
      </c>
      <c r="D42" s="7"/>
      <c r="E42" s="7"/>
      <c r="F42" s="7"/>
      <c r="G42" s="7"/>
      <c r="H42" s="7"/>
      <c r="I42" s="7"/>
      <c r="J42" s="7"/>
      <c r="K42" s="5">
        <f>SUM(COUNTIF(D42:J42,"A") + COUNTIF(D42:J42,"B")) * WORKERS!D40</f>
        <v>0</v>
      </c>
    </row>
    <row r="43" spans="2:11" ht="21" hidden="1" customHeight="1" x14ac:dyDescent="0.25">
      <c r="B43" s="5">
        <f>WORKERS!B41</f>
        <v>0</v>
      </c>
      <c r="C43" s="8">
        <f>WORKERS!C41</f>
        <v>0</v>
      </c>
      <c r="D43" s="7"/>
      <c r="E43" s="7"/>
      <c r="F43" s="7"/>
      <c r="G43" s="7"/>
      <c r="H43" s="7"/>
      <c r="I43" s="7"/>
      <c r="J43" s="7"/>
      <c r="K43" s="5">
        <f>SUM(COUNTIF(D43:J43,"A") + COUNTIF(D43:J43,"B")) * WORKERS!D41</f>
        <v>0</v>
      </c>
    </row>
    <row r="44" spans="2:11" ht="21" hidden="1" customHeight="1" x14ac:dyDescent="0.25">
      <c r="B44" s="5">
        <f>WORKERS!B42</f>
        <v>0</v>
      </c>
      <c r="C44" s="8">
        <f>WORKERS!C42</f>
        <v>0</v>
      </c>
      <c r="D44" s="7"/>
      <c r="E44" s="7"/>
      <c r="F44" s="7"/>
      <c r="G44" s="7"/>
      <c r="H44" s="7"/>
      <c r="I44" s="7"/>
      <c r="J44" s="7"/>
      <c r="K44" s="5">
        <f>SUM(COUNTIF(D44:J44,"A") + COUNTIF(D44:J44,"B")) * WORKERS!D42</f>
        <v>0</v>
      </c>
    </row>
    <row r="45" spans="2:11" ht="21" hidden="1" customHeight="1" x14ac:dyDescent="0.25">
      <c r="B45" s="5">
        <f>WORKERS!B43</f>
        <v>0</v>
      </c>
      <c r="C45" s="8">
        <f>WORKERS!C43</f>
        <v>0</v>
      </c>
      <c r="D45" s="7"/>
      <c r="E45" s="7"/>
      <c r="F45" s="7"/>
      <c r="G45" s="7"/>
      <c r="H45" s="7"/>
      <c r="I45" s="7"/>
      <c r="J45" s="7"/>
      <c r="K45" s="5">
        <f>SUM(COUNTIF(D45:J45,"A") + COUNTIF(D45:J45,"B")) * WORKERS!D43</f>
        <v>0</v>
      </c>
    </row>
    <row r="46" spans="2:11" ht="21" hidden="1" customHeight="1" x14ac:dyDescent="0.25">
      <c r="B46" s="5">
        <f>WORKERS!B44</f>
        <v>0</v>
      </c>
      <c r="C46" s="8">
        <f>WORKERS!C44</f>
        <v>0</v>
      </c>
      <c r="D46" s="7"/>
      <c r="E46" s="7"/>
      <c r="F46" s="7"/>
      <c r="G46" s="7"/>
      <c r="H46" s="7"/>
      <c r="I46" s="7"/>
      <c r="J46" s="7"/>
      <c r="K46" s="5">
        <f>SUM(COUNTIF(D46:J46,"A") + COUNTIF(D46:J46,"B")) * WORKERS!D44</f>
        <v>0</v>
      </c>
    </row>
    <row r="47" spans="2:11" ht="21" hidden="1" customHeight="1" x14ac:dyDescent="0.25">
      <c r="B47" s="5">
        <f>WORKERS!B45</f>
        <v>0</v>
      </c>
      <c r="C47" s="8">
        <f>WORKERS!C45</f>
        <v>0</v>
      </c>
      <c r="D47" s="7"/>
      <c r="E47" s="7"/>
      <c r="F47" s="7"/>
      <c r="G47" s="7"/>
      <c r="H47" s="7"/>
      <c r="I47" s="7"/>
      <c r="J47" s="7"/>
      <c r="K47" s="5">
        <f>SUM(COUNTIF(D47:J47,"A") + COUNTIF(D47:J47,"B")) * WORKERS!D45</f>
        <v>0</v>
      </c>
    </row>
    <row r="48" spans="2:11" ht="21" hidden="1" customHeight="1" x14ac:dyDescent="0.25">
      <c r="B48" s="5">
        <f>WORKERS!B46</f>
        <v>0</v>
      </c>
      <c r="C48" s="8">
        <f>WORKERS!C46</f>
        <v>0</v>
      </c>
      <c r="D48" s="7"/>
      <c r="E48" s="7"/>
      <c r="F48" s="7"/>
      <c r="G48" s="7"/>
      <c r="H48" s="7"/>
      <c r="I48" s="7"/>
      <c r="J48" s="7"/>
      <c r="K48" s="5">
        <f>SUM(COUNTIF(D48:J48,"A") + COUNTIF(D48:J48,"B")) * WORKERS!D46</f>
        <v>0</v>
      </c>
    </row>
    <row r="49" spans="2:11" ht="21" hidden="1" customHeight="1" x14ac:dyDescent="0.25">
      <c r="B49" s="5">
        <f>WORKERS!B47</f>
        <v>0</v>
      </c>
      <c r="C49" s="8">
        <f>WORKERS!C47</f>
        <v>0</v>
      </c>
      <c r="D49" s="7"/>
      <c r="E49" s="7"/>
      <c r="F49" s="7"/>
      <c r="G49" s="7"/>
      <c r="H49" s="7"/>
      <c r="I49" s="7"/>
      <c r="J49" s="7"/>
      <c r="K49" s="5">
        <f>SUM(COUNTIF(D49:J49,"A") + COUNTIF(D49:J49,"B")) * WORKERS!D47</f>
        <v>0</v>
      </c>
    </row>
    <row r="50" spans="2:11" ht="21" hidden="1" customHeight="1" x14ac:dyDescent="0.25">
      <c r="B50" s="5">
        <f>WORKERS!B48</f>
        <v>0</v>
      </c>
      <c r="C50" s="8">
        <f>WORKERS!C48</f>
        <v>0</v>
      </c>
      <c r="D50" s="7"/>
      <c r="E50" s="7"/>
      <c r="F50" s="7"/>
      <c r="G50" s="7"/>
      <c r="H50" s="7"/>
      <c r="I50" s="7"/>
      <c r="J50" s="7"/>
      <c r="K50" s="5">
        <f>SUM(COUNTIF(D50:J50,"A") + COUNTIF(D50:J50,"B")) * WORKERS!D48</f>
        <v>0</v>
      </c>
    </row>
    <row r="51" spans="2:11" ht="21" hidden="1" customHeight="1" x14ac:dyDescent="0.25">
      <c r="B51" s="5">
        <f>WORKERS!B49</f>
        <v>0</v>
      </c>
      <c r="C51" s="8">
        <f>WORKERS!C49</f>
        <v>0</v>
      </c>
      <c r="D51" s="7"/>
      <c r="E51" s="7"/>
      <c r="F51" s="7"/>
      <c r="G51" s="7"/>
      <c r="H51" s="7"/>
      <c r="I51" s="7"/>
      <c r="J51" s="7"/>
      <c r="K51" s="5">
        <f>SUM(COUNTIF(D51:J51,"A") + COUNTIF(D51:J51,"B")) * WORKERS!D49</f>
        <v>0</v>
      </c>
    </row>
    <row r="52" spans="2:11" ht="21" hidden="1" customHeight="1" x14ac:dyDescent="0.25">
      <c r="B52" s="5">
        <f>WORKERS!B50</f>
        <v>0</v>
      </c>
      <c r="C52" s="8">
        <f>WORKERS!C50</f>
        <v>0</v>
      </c>
      <c r="D52" s="7"/>
      <c r="E52" s="7"/>
      <c r="F52" s="7"/>
      <c r="G52" s="7"/>
      <c r="H52" s="7"/>
      <c r="I52" s="7"/>
      <c r="J52" s="7"/>
      <c r="K52" s="5">
        <f>SUM(COUNTIF(D52:J52,"A") + COUNTIF(D52:J52,"B")) * WORKERS!D50</f>
        <v>0</v>
      </c>
    </row>
    <row r="53" spans="2:11" ht="21" hidden="1" customHeight="1" x14ac:dyDescent="0.25">
      <c r="B53" s="5">
        <f>WORKERS!B51</f>
        <v>0</v>
      </c>
      <c r="C53" s="8">
        <f>WORKERS!C51</f>
        <v>0</v>
      </c>
      <c r="D53" s="7"/>
      <c r="E53" s="7"/>
      <c r="F53" s="7"/>
      <c r="G53" s="7"/>
      <c r="H53" s="7"/>
      <c r="I53" s="7"/>
      <c r="J53" s="7"/>
      <c r="K53" s="5">
        <f>SUM(COUNTIF(D53:J53,"A") + COUNTIF(D53:J53,"B")) * WORKERS!D51</f>
        <v>0</v>
      </c>
    </row>
    <row r="54" spans="2:11" ht="21" hidden="1" customHeight="1" x14ac:dyDescent="0.25">
      <c r="B54" s="5">
        <f>WORKERS!B52</f>
        <v>0</v>
      </c>
      <c r="C54" s="8">
        <f>WORKERS!C52</f>
        <v>0</v>
      </c>
      <c r="D54" s="7"/>
      <c r="E54" s="7"/>
      <c r="F54" s="7"/>
      <c r="G54" s="7"/>
      <c r="H54" s="7"/>
      <c r="I54" s="7"/>
      <c r="J54" s="7"/>
      <c r="K54" s="5">
        <f>SUM(COUNTIF(D54:J54,"A") + COUNTIF(D54:J54,"B")) * WORKERS!D52</f>
        <v>0</v>
      </c>
    </row>
    <row r="55" spans="2:11" ht="21" hidden="1" customHeight="1" x14ac:dyDescent="0.25">
      <c r="B55" s="5">
        <f>WORKERS!B53</f>
        <v>0</v>
      </c>
      <c r="C55" s="8">
        <f>WORKERS!C53</f>
        <v>0</v>
      </c>
      <c r="D55" s="7"/>
      <c r="E55" s="7"/>
      <c r="F55" s="7"/>
      <c r="G55" s="7"/>
      <c r="H55" s="7"/>
      <c r="I55" s="7"/>
      <c r="J55" s="7"/>
      <c r="K55" s="5">
        <f>SUM(COUNTIF(D55:J55,"A") + COUNTIF(D55:J55,"B")) * WORKERS!D53</f>
        <v>0</v>
      </c>
    </row>
    <row r="56" spans="2:11" ht="21" hidden="1" customHeight="1" x14ac:dyDescent="0.25">
      <c r="B56" s="5">
        <f>WORKERS!B54</f>
        <v>0</v>
      </c>
      <c r="C56" s="8">
        <f>WORKERS!C54</f>
        <v>0</v>
      </c>
      <c r="D56" s="7"/>
      <c r="E56" s="7"/>
      <c r="F56" s="7"/>
      <c r="G56" s="7"/>
      <c r="H56" s="7"/>
      <c r="I56" s="7"/>
      <c r="J56" s="7"/>
      <c r="K56" s="5">
        <f>SUM(COUNTIF(D56:J56,"A") + COUNTIF(D56:J56,"B")) * WORKERS!D54</f>
        <v>0</v>
      </c>
    </row>
    <row r="57" spans="2:11" ht="21" hidden="1" customHeight="1" x14ac:dyDescent="0.25">
      <c r="B57" s="5">
        <f>WORKERS!B55</f>
        <v>0</v>
      </c>
      <c r="C57" s="8">
        <f>WORKERS!C55</f>
        <v>0</v>
      </c>
      <c r="D57" s="7"/>
      <c r="E57" s="7"/>
      <c r="F57" s="7"/>
      <c r="G57" s="7"/>
      <c r="H57" s="7"/>
      <c r="I57" s="7"/>
      <c r="J57" s="7"/>
      <c r="K57" s="5">
        <f>SUM(COUNTIF(D57:J57,"A") + COUNTIF(D57:J57,"B")) * WORKERS!D55</f>
        <v>0</v>
      </c>
    </row>
    <row r="58" spans="2:11" ht="21" hidden="1" customHeight="1" x14ac:dyDescent="0.25">
      <c r="B58" s="5">
        <f>WORKERS!B56</f>
        <v>0</v>
      </c>
      <c r="C58" s="8">
        <f>WORKERS!C56</f>
        <v>0</v>
      </c>
      <c r="D58" s="7"/>
      <c r="E58" s="7"/>
      <c r="F58" s="7"/>
      <c r="G58" s="7"/>
      <c r="H58" s="7"/>
      <c r="I58" s="7"/>
      <c r="J58" s="7"/>
      <c r="K58" s="5">
        <f>SUM(COUNTIF(D58:J58,"A") + COUNTIF(D58:J58,"B")) * WORKERS!D56</f>
        <v>0</v>
      </c>
    </row>
    <row r="59" spans="2:11" ht="21" hidden="1" customHeight="1" x14ac:dyDescent="0.25">
      <c r="B59" s="5">
        <f>WORKERS!B57</f>
        <v>0</v>
      </c>
      <c r="C59" s="8">
        <f>WORKERS!C57</f>
        <v>0</v>
      </c>
      <c r="D59" s="7"/>
      <c r="E59" s="7"/>
      <c r="F59" s="7"/>
      <c r="G59" s="7"/>
      <c r="H59" s="7"/>
      <c r="I59" s="7"/>
      <c r="J59" s="7"/>
      <c r="K59" s="5">
        <f>SUM(COUNTIF(D59:J59,"A") + COUNTIF(D59:J59,"B")) * WORKERS!D57</f>
        <v>0</v>
      </c>
    </row>
    <row r="60" spans="2:11" ht="21" hidden="1" customHeight="1" x14ac:dyDescent="0.25">
      <c r="B60" s="5">
        <f>WORKERS!B58</f>
        <v>0</v>
      </c>
      <c r="C60" s="8">
        <f>WORKERS!C58</f>
        <v>0</v>
      </c>
      <c r="D60" s="7"/>
      <c r="E60" s="7"/>
      <c r="F60" s="7"/>
      <c r="G60" s="7"/>
      <c r="H60" s="7"/>
      <c r="I60" s="7"/>
      <c r="J60" s="7"/>
      <c r="K60" s="5">
        <f>SUM(COUNTIF(D60:J60,"A") + COUNTIF(D60:J60,"B")) * WORKERS!D58</f>
        <v>0</v>
      </c>
    </row>
    <row r="61" spans="2:11" ht="21" hidden="1" customHeight="1" x14ac:dyDescent="0.25">
      <c r="B61" s="5">
        <f>WORKERS!B59</f>
        <v>0</v>
      </c>
      <c r="C61" s="8">
        <f>WORKERS!C59</f>
        <v>0</v>
      </c>
      <c r="D61" s="7"/>
      <c r="E61" s="7"/>
      <c r="F61" s="7"/>
      <c r="G61" s="7"/>
      <c r="H61" s="7"/>
      <c r="I61" s="7"/>
      <c r="J61" s="7"/>
      <c r="K61" s="5">
        <f>SUM(COUNTIF(D61:J61,"A") + COUNTIF(D61:J61,"B")) * WORKERS!D59</f>
        <v>0</v>
      </c>
    </row>
    <row r="62" spans="2:11" ht="21" hidden="1" customHeight="1" x14ac:dyDescent="0.25">
      <c r="B62" s="5">
        <f>WORKERS!B60</f>
        <v>0</v>
      </c>
      <c r="C62" s="8">
        <f>WORKERS!C60</f>
        <v>0</v>
      </c>
      <c r="D62" s="7"/>
      <c r="E62" s="7"/>
      <c r="F62" s="7"/>
      <c r="G62" s="7"/>
      <c r="H62" s="7"/>
      <c r="I62" s="7"/>
      <c r="J62" s="7"/>
      <c r="K62" s="5">
        <f>SUM(COUNTIF(D62:J62,"A") + COUNTIF(D62:J62,"B")) * WORKERS!D60</f>
        <v>0</v>
      </c>
    </row>
    <row r="63" spans="2:11" ht="21" hidden="1" customHeight="1" x14ac:dyDescent="0.25">
      <c r="B63" s="5">
        <f>WORKERS!B61</f>
        <v>0</v>
      </c>
      <c r="C63" s="8">
        <f>WORKERS!C61</f>
        <v>0</v>
      </c>
      <c r="D63" s="7"/>
      <c r="E63" s="7"/>
      <c r="F63" s="7"/>
      <c r="G63" s="7"/>
      <c r="H63" s="7"/>
      <c r="I63" s="7"/>
      <c r="J63" s="7"/>
      <c r="K63" s="5">
        <f>SUM(COUNTIF(D63:J63,"A") + COUNTIF(D63:J63,"B")) * WORKERS!D61</f>
        <v>0</v>
      </c>
    </row>
    <row r="64" spans="2:11" ht="21" hidden="1" customHeight="1" x14ac:dyDescent="0.25">
      <c r="B64" s="5">
        <f>WORKERS!B62</f>
        <v>0</v>
      </c>
      <c r="C64" s="8">
        <f>WORKERS!C62</f>
        <v>0</v>
      </c>
      <c r="D64" s="7"/>
      <c r="E64" s="7"/>
      <c r="F64" s="7"/>
      <c r="G64" s="7"/>
      <c r="H64" s="7"/>
      <c r="I64" s="7"/>
      <c r="J64" s="7"/>
      <c r="K64" s="5">
        <f>SUM(COUNTIF(D64:J64,"A") + COUNTIF(D64:J64,"B")) * WORKERS!D62</f>
        <v>0</v>
      </c>
    </row>
    <row r="65" spans="2:11" ht="21" hidden="1" customHeight="1" x14ac:dyDescent="0.25">
      <c r="B65" s="5">
        <f>WORKERS!B63</f>
        <v>0</v>
      </c>
      <c r="C65" s="8">
        <f>WORKERS!C63</f>
        <v>0</v>
      </c>
      <c r="D65" s="7"/>
      <c r="E65" s="7"/>
      <c r="F65" s="7"/>
      <c r="G65" s="7"/>
      <c r="H65" s="7"/>
      <c r="I65" s="7"/>
      <c r="J65" s="7"/>
      <c r="K65" s="5">
        <f>SUM(COUNTIF(D65:J65,"A") + COUNTIF(D65:J65,"B")) * WORKERS!D63</f>
        <v>0</v>
      </c>
    </row>
    <row r="66" spans="2:11" ht="21" hidden="1" customHeight="1" x14ac:dyDescent="0.25">
      <c r="B66" s="5">
        <f>WORKERS!B64</f>
        <v>0</v>
      </c>
      <c r="C66" s="8">
        <f>WORKERS!C64</f>
        <v>0</v>
      </c>
      <c r="D66" s="7"/>
      <c r="E66" s="7"/>
      <c r="F66" s="7"/>
      <c r="G66" s="7"/>
      <c r="H66" s="7"/>
      <c r="I66" s="7"/>
      <c r="J66" s="7"/>
      <c r="K66" s="5">
        <f>SUM(COUNTIF(D66:J66,"A") + COUNTIF(D66:J66,"B")) * WORKERS!D64</f>
        <v>0</v>
      </c>
    </row>
    <row r="67" spans="2:11" ht="21" hidden="1" customHeight="1" x14ac:dyDescent="0.25">
      <c r="B67" s="5">
        <f>WORKERS!B65</f>
        <v>0</v>
      </c>
      <c r="C67" s="8">
        <f>WORKERS!C65</f>
        <v>0</v>
      </c>
      <c r="D67" s="7"/>
      <c r="E67" s="7"/>
      <c r="F67" s="7"/>
      <c r="G67" s="7"/>
      <c r="H67" s="7"/>
      <c r="I67" s="7"/>
      <c r="J67" s="7"/>
      <c r="K67" s="5">
        <f>SUM(COUNTIF(D67:J67,"A") + COUNTIF(D67:J67,"B")) * WORKERS!D65</f>
        <v>0</v>
      </c>
    </row>
    <row r="68" spans="2:11" ht="21" hidden="1" customHeight="1" x14ac:dyDescent="0.25">
      <c r="B68" s="5">
        <f>WORKERS!B66</f>
        <v>0</v>
      </c>
      <c r="C68" s="8">
        <f>WORKERS!C66</f>
        <v>0</v>
      </c>
      <c r="D68" s="7"/>
      <c r="E68" s="7"/>
      <c r="F68" s="7"/>
      <c r="G68" s="7"/>
      <c r="H68" s="7"/>
      <c r="I68" s="7"/>
      <c r="J68" s="7"/>
      <c r="K68" s="5">
        <f>SUM(COUNTIF(D68:J68,"A") + COUNTIF(D68:J68,"B")) * WORKERS!D66</f>
        <v>0</v>
      </c>
    </row>
    <row r="69" spans="2:11" ht="21" hidden="1" customHeight="1" x14ac:dyDescent="0.25">
      <c r="B69" s="5">
        <f>WORKERS!B67</f>
        <v>0</v>
      </c>
      <c r="C69" s="8">
        <f>WORKERS!C67</f>
        <v>0</v>
      </c>
      <c r="D69" s="7"/>
      <c r="E69" s="7"/>
      <c r="F69" s="7"/>
      <c r="G69" s="7"/>
      <c r="H69" s="7"/>
      <c r="I69" s="7"/>
      <c r="J69" s="7"/>
      <c r="K69" s="5">
        <f>SUM(COUNTIF(D69:J69,"A") + COUNTIF(D69:J69,"B")) * WORKERS!D67</f>
        <v>0</v>
      </c>
    </row>
    <row r="70" spans="2:11" ht="21" hidden="1" customHeight="1" x14ac:dyDescent="0.25">
      <c r="B70" s="5">
        <f>WORKERS!B68</f>
        <v>0</v>
      </c>
      <c r="C70" s="8">
        <f>WORKERS!C68</f>
        <v>0</v>
      </c>
      <c r="D70" s="7"/>
      <c r="E70" s="7"/>
      <c r="F70" s="7"/>
      <c r="G70" s="7"/>
      <c r="H70" s="7"/>
      <c r="I70" s="7"/>
      <c r="J70" s="7"/>
      <c r="K70" s="5">
        <f>SUM(COUNTIF(D70:J70,"A") + COUNTIF(D70:J70,"B")) * WORKERS!D68</f>
        <v>0</v>
      </c>
    </row>
    <row r="71" spans="2:11" ht="21" hidden="1" customHeight="1" x14ac:dyDescent="0.25">
      <c r="B71" s="5">
        <f>WORKERS!B69</f>
        <v>0</v>
      </c>
      <c r="C71" s="8">
        <f>WORKERS!C69</f>
        <v>0</v>
      </c>
      <c r="D71" s="7"/>
      <c r="E71" s="7"/>
      <c r="F71" s="7"/>
      <c r="G71" s="7"/>
      <c r="H71" s="7"/>
      <c r="I71" s="7"/>
      <c r="J71" s="7"/>
      <c r="K71" s="5">
        <f>SUM(COUNTIF(D71:J71,"A") + COUNTIF(D71:J71,"B")) * WORKERS!D69</f>
        <v>0</v>
      </c>
    </row>
    <row r="72" spans="2:11" ht="21" hidden="1" customHeight="1" x14ac:dyDescent="0.25">
      <c r="B72" s="5">
        <f>WORKERS!B70</f>
        <v>0</v>
      </c>
      <c r="C72" s="8">
        <f>WORKERS!C70</f>
        <v>0</v>
      </c>
      <c r="D72" s="7"/>
      <c r="E72" s="7"/>
      <c r="F72" s="7"/>
      <c r="G72" s="7"/>
      <c r="H72" s="7"/>
      <c r="I72" s="7"/>
      <c r="J72" s="7"/>
      <c r="K72" s="5">
        <f>SUM(COUNTIF(D72:J72,"A") + COUNTIF(D72:J72,"B")) * WORKERS!D70</f>
        <v>0</v>
      </c>
    </row>
    <row r="73" spans="2:11" ht="21" hidden="1" customHeight="1" x14ac:dyDescent="0.25">
      <c r="B73" s="5">
        <f>WORKERS!B71</f>
        <v>0</v>
      </c>
      <c r="C73" s="8">
        <f>WORKERS!C71</f>
        <v>0</v>
      </c>
      <c r="D73" s="7"/>
      <c r="E73" s="7"/>
      <c r="F73" s="7"/>
      <c r="G73" s="7"/>
      <c r="H73" s="7"/>
      <c r="I73" s="7"/>
      <c r="J73" s="7"/>
      <c r="K73" s="5">
        <f>SUM(COUNTIF(D73:J73,"A") + COUNTIF(D73:J73,"B")) * WORKERS!D71</f>
        <v>0</v>
      </c>
    </row>
    <row r="74" spans="2:11" ht="21" customHeight="1" x14ac:dyDescent="0.25">
      <c r="B74" s="39" t="s">
        <v>59</v>
      </c>
      <c r="C74" s="40"/>
      <c r="D74" s="6">
        <f>COUNTIF(D6:D73, "A") + COUNTIF(D6:D73, "B")</f>
        <v>0</v>
      </c>
      <c r="E74" s="6">
        <f t="shared" ref="E74:J74" si="0">COUNTIF(E6:E73, "A") + COUNTIF(E6:E73, "B")</f>
        <v>0</v>
      </c>
      <c r="F74" s="6">
        <f t="shared" si="0"/>
        <v>0</v>
      </c>
      <c r="G74" s="6">
        <f t="shared" si="0"/>
        <v>0</v>
      </c>
      <c r="H74" s="6">
        <f t="shared" si="0"/>
        <v>0</v>
      </c>
      <c r="I74" s="6">
        <f t="shared" si="0"/>
        <v>0</v>
      </c>
      <c r="J74" s="6">
        <f t="shared" si="0"/>
        <v>0</v>
      </c>
      <c r="K74" s="41">
        <f>SUM(K6:K73)</f>
        <v>0</v>
      </c>
    </row>
    <row r="75" spans="2:11" x14ac:dyDescent="0.25">
      <c r="C75" s="9"/>
      <c r="H75"/>
      <c r="I75"/>
      <c r="J75"/>
      <c r="K75"/>
    </row>
    <row r="76" spans="2:11" x14ac:dyDescent="0.35">
      <c r="H76"/>
      <c r="I76"/>
      <c r="J76"/>
      <c r="K76"/>
    </row>
  </sheetData>
  <mergeCells count="6">
    <mergeCell ref="B74:C74"/>
    <mergeCell ref="B2:J3"/>
    <mergeCell ref="B4:B5"/>
    <mergeCell ref="C4:C5"/>
    <mergeCell ref="D4:J4"/>
    <mergeCell ref="K4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47CA-91B9-4B63-BD5B-D85BFF4A30D0}">
  <dimension ref="B2:K75"/>
  <sheetViews>
    <sheetView topLeftCell="A13" workbookViewId="0">
      <selection activeCell="D5" sqref="D5"/>
    </sheetView>
  </sheetViews>
  <sheetFormatPr defaultRowHeight="15" x14ac:dyDescent="0.25"/>
  <cols>
    <col min="2" max="2" width="9.140625" style="4"/>
    <col min="3" max="3" width="25.7109375" customWidth="1"/>
    <col min="4" max="10" width="13.28515625" style="3" customWidth="1"/>
    <col min="11" max="11" width="26.140625" style="3" customWidth="1"/>
  </cols>
  <sheetData>
    <row r="2" spans="2:11" ht="14.25" customHeight="1" x14ac:dyDescent="0.25">
      <c r="B2" s="43" t="s">
        <v>65</v>
      </c>
      <c r="C2" s="43"/>
      <c r="D2" s="43"/>
      <c r="E2" s="43"/>
      <c r="F2" s="43"/>
      <c r="G2" s="43"/>
      <c r="H2" s="43"/>
      <c r="I2" s="43"/>
      <c r="J2" s="44"/>
      <c r="K2" s="45" t="s">
        <v>63</v>
      </c>
    </row>
    <row r="3" spans="2:11" ht="17.25" customHeight="1" x14ac:dyDescent="0.25">
      <c r="B3" s="43"/>
      <c r="C3" s="43"/>
      <c r="D3" s="43"/>
      <c r="E3" s="43"/>
      <c r="F3" s="43"/>
      <c r="G3" s="43"/>
      <c r="H3" s="43"/>
      <c r="I3" s="43"/>
      <c r="J3" s="44"/>
      <c r="K3" s="46">
        <v>45857</v>
      </c>
    </row>
    <row r="4" spans="2:11" ht="15.75" x14ac:dyDescent="0.25">
      <c r="B4" s="29" t="s">
        <v>39</v>
      </c>
      <c r="C4" s="29" t="s">
        <v>29</v>
      </c>
      <c r="D4" s="28" t="s">
        <v>70</v>
      </c>
      <c r="E4" s="28"/>
      <c r="F4" s="28"/>
      <c r="G4" s="28"/>
      <c r="H4" s="28"/>
      <c r="I4" s="28"/>
      <c r="J4" s="28"/>
      <c r="K4" s="29" t="s">
        <v>50</v>
      </c>
    </row>
    <row r="5" spans="2:11" ht="15.75" x14ac:dyDescent="0.25">
      <c r="B5" s="29"/>
      <c r="C5" s="29"/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29"/>
    </row>
    <row r="6" spans="2:11" ht="21" customHeight="1" x14ac:dyDescent="0.25">
      <c r="B6" s="5">
        <f>WORKERS!B4</f>
        <v>1</v>
      </c>
      <c r="C6" s="8" t="str">
        <f>WORKERS!C4</f>
        <v>T.DILLESWAR RAO</v>
      </c>
      <c r="D6" s="7"/>
      <c r="E6" s="7"/>
      <c r="F6" s="7"/>
      <c r="G6" s="7"/>
      <c r="H6" s="7"/>
      <c r="I6" s="7"/>
      <c r="J6" s="7"/>
      <c r="K6" s="5">
        <f>SUM(COUNTIF(D6:J6,"A") + COUNTIF(D6:J6,"B")) * WORKERS!D4</f>
        <v>0</v>
      </c>
    </row>
    <row r="7" spans="2:11" ht="21" customHeight="1" x14ac:dyDescent="0.25">
      <c r="B7" s="5">
        <f>WORKERS!B5</f>
        <v>2</v>
      </c>
      <c r="C7" s="8" t="str">
        <f>WORKERS!C5</f>
        <v>KUNJABIHARI MAJHI</v>
      </c>
      <c r="D7" s="7"/>
      <c r="E7" s="7"/>
      <c r="F7" s="7"/>
      <c r="G7" s="7"/>
      <c r="H7" s="7"/>
      <c r="I7" s="7"/>
      <c r="J7" s="7"/>
      <c r="K7" s="5">
        <f>SUM(COUNTIF(D7:J7,"A") + COUNTIF(D7:J7,"B")) * WORKERS!D5</f>
        <v>0</v>
      </c>
    </row>
    <row r="8" spans="2:11" ht="21" customHeight="1" x14ac:dyDescent="0.25">
      <c r="B8" s="5">
        <f>WORKERS!B6</f>
        <v>3</v>
      </c>
      <c r="C8" s="8" t="str">
        <f>WORKERS!C6</f>
        <v>SUBHAS MAJHI</v>
      </c>
      <c r="D8" s="7"/>
      <c r="E8" s="7"/>
      <c r="F8" s="7"/>
      <c r="G8" s="7"/>
      <c r="H8" s="7"/>
      <c r="I8" s="7"/>
      <c r="J8" s="7"/>
      <c r="K8" s="5">
        <f>SUM(COUNTIF(D8:J8,"A") + COUNTIF(D8:J8,"B")) * WORKERS!D6</f>
        <v>0</v>
      </c>
    </row>
    <row r="9" spans="2:11" ht="21" customHeight="1" x14ac:dyDescent="0.25">
      <c r="B9" s="5">
        <f>WORKERS!B7</f>
        <v>4</v>
      </c>
      <c r="C9" s="8" t="str">
        <f>WORKERS!C7</f>
        <v>MOHITH</v>
      </c>
      <c r="D9" s="7"/>
      <c r="E9" s="7"/>
      <c r="F9" s="7"/>
      <c r="G9" s="7"/>
      <c r="H9" s="7"/>
      <c r="I9" s="7"/>
      <c r="J9" s="7"/>
      <c r="K9" s="5">
        <f>SUM(COUNTIF(D9:J9,"A") + COUNTIF(D9:J9,"B")) * WORKERS!D7</f>
        <v>0</v>
      </c>
    </row>
    <row r="10" spans="2:11" ht="21" customHeight="1" x14ac:dyDescent="0.25">
      <c r="B10" s="5">
        <f>WORKERS!B8</f>
        <v>5</v>
      </c>
      <c r="C10" s="8" t="str">
        <f>WORKERS!C8</f>
        <v>BIJAY MAJHI</v>
      </c>
      <c r="D10" s="7"/>
      <c r="E10" s="7"/>
      <c r="F10" s="7"/>
      <c r="G10" s="7"/>
      <c r="H10" s="7"/>
      <c r="I10" s="7"/>
      <c r="J10" s="7"/>
      <c r="K10" s="5">
        <f>SUM(COUNTIF(D10:J10,"A") + COUNTIF(D10:J10,"B")) * WORKERS!D8</f>
        <v>0</v>
      </c>
    </row>
    <row r="11" spans="2:11" ht="21" customHeight="1" x14ac:dyDescent="0.25">
      <c r="B11" s="5">
        <f>WORKERS!B9</f>
        <v>6</v>
      </c>
      <c r="C11" s="8" t="str">
        <f>WORKERS!C9</f>
        <v>BASANTA MAJHI</v>
      </c>
      <c r="D11" s="7"/>
      <c r="E11" s="7"/>
      <c r="F11" s="7"/>
      <c r="G11" s="7"/>
      <c r="H11" s="7"/>
      <c r="I11" s="7"/>
      <c r="J11" s="7"/>
      <c r="K11" s="5">
        <f>SUM(COUNTIF(D11:J11,"A") + COUNTIF(D11:J11,"B")) * WORKERS!D9</f>
        <v>0</v>
      </c>
    </row>
    <row r="12" spans="2:11" ht="21" customHeight="1" x14ac:dyDescent="0.25">
      <c r="B12" s="5">
        <f>WORKERS!B10</f>
        <v>7</v>
      </c>
      <c r="C12" s="8" t="str">
        <f>WORKERS!C10</f>
        <v>ROHITH MAJHI</v>
      </c>
      <c r="D12" s="7"/>
      <c r="E12" s="7"/>
      <c r="F12" s="7"/>
      <c r="G12" s="7"/>
      <c r="H12" s="7"/>
      <c r="I12" s="7"/>
      <c r="J12" s="7"/>
      <c r="K12" s="5">
        <f>SUM(COUNTIF(D12:J12,"A") + COUNTIF(D12:J12,"B")) * WORKERS!D10</f>
        <v>0</v>
      </c>
    </row>
    <row r="13" spans="2:11" ht="21" customHeight="1" x14ac:dyDescent="0.25">
      <c r="B13" s="5">
        <f>WORKERS!B11</f>
        <v>8</v>
      </c>
      <c r="C13" s="8" t="str">
        <f>WORKERS!C11</f>
        <v>JANMENJAYA BHOI</v>
      </c>
      <c r="D13" s="7"/>
      <c r="E13" s="7"/>
      <c r="F13" s="7"/>
      <c r="G13" s="7"/>
      <c r="H13" s="7"/>
      <c r="I13" s="7"/>
      <c r="J13" s="7"/>
      <c r="K13" s="5">
        <f>SUM(COUNTIF(D13:J13,"A") + COUNTIF(D13:J13,"B")) * WORKERS!D11</f>
        <v>0</v>
      </c>
    </row>
    <row r="14" spans="2:11" ht="21" customHeight="1" x14ac:dyDescent="0.25">
      <c r="B14" s="5">
        <f>WORKERS!B12</f>
        <v>9</v>
      </c>
      <c r="C14" s="8" t="str">
        <f>WORKERS!C12</f>
        <v>PURAUSTAM BANCHOR</v>
      </c>
      <c r="D14" s="7"/>
      <c r="E14" s="7"/>
      <c r="F14" s="7"/>
      <c r="G14" s="7"/>
      <c r="H14" s="7"/>
      <c r="I14" s="7"/>
      <c r="J14" s="7"/>
      <c r="K14" s="5">
        <f>SUM(COUNTIF(D14:J14,"A") + COUNTIF(D14:J14,"B")) * WORKERS!D12</f>
        <v>0</v>
      </c>
    </row>
    <row r="15" spans="2:11" ht="21" customHeight="1" x14ac:dyDescent="0.25">
      <c r="B15" s="5">
        <f>WORKERS!B13</f>
        <v>10</v>
      </c>
      <c r="C15" s="8" t="str">
        <f>WORKERS!C13</f>
        <v>THABIR GOUD</v>
      </c>
      <c r="D15" s="7"/>
      <c r="E15" s="7"/>
      <c r="F15" s="7"/>
      <c r="G15" s="7"/>
      <c r="H15" s="7"/>
      <c r="I15" s="7"/>
      <c r="J15" s="7"/>
      <c r="K15" s="5">
        <f>SUM(COUNTIF(D15:J15,"A") + COUNTIF(D15:J15,"B")) * WORKERS!D13</f>
        <v>0</v>
      </c>
    </row>
    <row r="16" spans="2:11" ht="21" customHeight="1" x14ac:dyDescent="0.25">
      <c r="B16" s="5">
        <f>WORKERS!B14</f>
        <v>11</v>
      </c>
      <c r="C16" s="8" t="str">
        <f>WORKERS!C14</f>
        <v>SARATH</v>
      </c>
      <c r="D16" s="7"/>
      <c r="E16" s="7"/>
      <c r="F16" s="7"/>
      <c r="G16" s="7"/>
      <c r="H16" s="7"/>
      <c r="I16" s="7"/>
      <c r="J16" s="7"/>
      <c r="K16" s="5">
        <f>SUM(COUNTIF(D16:J16,"A") + COUNTIF(D16:J16,"B")) * WORKERS!D14</f>
        <v>0</v>
      </c>
    </row>
    <row r="17" spans="2:11" ht="21" customHeight="1" x14ac:dyDescent="0.25">
      <c r="B17" s="5">
        <f>WORKERS!B15</f>
        <v>12</v>
      </c>
      <c r="C17" s="8" t="str">
        <f>WORKERS!C15</f>
        <v>ANIL MAJHI</v>
      </c>
      <c r="D17" s="7"/>
      <c r="E17" s="7"/>
      <c r="F17" s="7"/>
      <c r="G17" s="7"/>
      <c r="H17" s="7"/>
      <c r="I17" s="7"/>
      <c r="J17" s="7"/>
      <c r="K17" s="5">
        <f>SUM(COUNTIF(D17:J17,"A") + COUNTIF(D17:J17,"B")) * WORKERS!D15</f>
        <v>0</v>
      </c>
    </row>
    <row r="18" spans="2:11" ht="21" customHeight="1" x14ac:dyDescent="0.25">
      <c r="B18" s="5">
        <f>WORKERS!B16</f>
        <v>13</v>
      </c>
      <c r="C18" s="8" t="str">
        <f>WORKERS!C16</f>
        <v>RASIKA GOUD</v>
      </c>
      <c r="D18" s="7"/>
      <c r="E18" s="7"/>
      <c r="F18" s="7"/>
      <c r="G18" s="7"/>
      <c r="H18" s="7"/>
      <c r="I18" s="7"/>
      <c r="J18" s="7"/>
      <c r="K18" s="5">
        <f>SUM(COUNTIF(D18:J18,"A") + COUNTIF(D18:J18,"B")) * WORKERS!D16</f>
        <v>0</v>
      </c>
    </row>
    <row r="19" spans="2:11" ht="21" customHeight="1" x14ac:dyDescent="0.25">
      <c r="B19" s="5">
        <f>WORKERS!B17</f>
        <v>14</v>
      </c>
      <c r="C19" s="8" t="str">
        <f>WORKERS!C17</f>
        <v>PARMANANDA BANCHOR</v>
      </c>
      <c r="D19" s="7"/>
      <c r="E19" s="7"/>
      <c r="F19" s="7"/>
      <c r="G19" s="7"/>
      <c r="H19" s="7"/>
      <c r="I19" s="7"/>
      <c r="J19" s="7"/>
      <c r="K19" s="5">
        <f>SUM(COUNTIF(D19:J19,"A") + COUNTIF(D19:J19,"B")) * WORKERS!D17</f>
        <v>0</v>
      </c>
    </row>
    <row r="20" spans="2:11" ht="21" customHeight="1" x14ac:dyDescent="0.25">
      <c r="B20" s="5">
        <f>WORKERS!B18</f>
        <v>15</v>
      </c>
      <c r="C20" s="8" t="str">
        <f>WORKERS!C18</f>
        <v>LINGRAJ PODH</v>
      </c>
      <c r="D20" s="7"/>
      <c r="E20" s="7"/>
      <c r="F20" s="7"/>
      <c r="G20" s="7"/>
      <c r="H20" s="7"/>
      <c r="I20" s="7"/>
      <c r="J20" s="7"/>
      <c r="K20" s="5">
        <f>SUM(COUNTIF(D20:J20,"A") + COUNTIF(D20:J20,"B")) * WORKERS!D18</f>
        <v>0</v>
      </c>
    </row>
    <row r="21" spans="2:11" ht="21" customHeight="1" x14ac:dyDescent="0.25">
      <c r="B21" s="5">
        <f>WORKERS!B19</f>
        <v>16</v>
      </c>
      <c r="C21" s="8" t="str">
        <f>WORKERS!C19</f>
        <v>RAMAKANTA BANCHOR</v>
      </c>
      <c r="D21" s="7"/>
      <c r="E21" s="7"/>
      <c r="F21" s="7"/>
      <c r="G21" s="7"/>
      <c r="H21" s="7"/>
      <c r="I21" s="7"/>
      <c r="J21" s="7"/>
      <c r="K21" s="5">
        <f>SUM(COUNTIF(D21:J21,"A") + COUNTIF(D21:J21,"B")) * WORKERS!D19</f>
        <v>0</v>
      </c>
    </row>
    <row r="22" spans="2:11" ht="21" customHeight="1" x14ac:dyDescent="0.25">
      <c r="B22" s="5">
        <f>WORKERS!B20</f>
        <v>17</v>
      </c>
      <c r="C22" s="8" t="str">
        <f>WORKERS!C20</f>
        <v>RUSHIBHOI</v>
      </c>
      <c r="D22" s="7"/>
      <c r="E22" s="7"/>
      <c r="F22" s="7"/>
      <c r="G22" s="7"/>
      <c r="H22" s="7"/>
      <c r="I22" s="7"/>
      <c r="J22" s="7"/>
      <c r="K22" s="5">
        <f>SUM(COUNTIF(D22:J22,"A") + COUNTIF(D22:J22,"B")) * WORKERS!D20</f>
        <v>0</v>
      </c>
    </row>
    <row r="23" spans="2:11" ht="21" customHeight="1" x14ac:dyDescent="0.25">
      <c r="B23" s="5">
        <f>WORKERS!B21</f>
        <v>18</v>
      </c>
      <c r="C23" s="8" t="str">
        <f>WORKERS!C21</f>
        <v>VIJAY BHOI</v>
      </c>
      <c r="D23" s="7"/>
      <c r="E23" s="7"/>
      <c r="F23" s="7"/>
      <c r="G23" s="7"/>
      <c r="H23" s="7"/>
      <c r="I23" s="7"/>
      <c r="J23" s="7"/>
      <c r="K23" s="5">
        <f>SUM(COUNTIF(D23:J23,"A") + COUNTIF(D23:J23,"B")) * WORKERS!D21</f>
        <v>0</v>
      </c>
    </row>
    <row r="24" spans="2:11" ht="21" customHeight="1" x14ac:dyDescent="0.25">
      <c r="B24" s="5">
        <f>WORKERS!B22</f>
        <v>19</v>
      </c>
      <c r="C24" s="8" t="str">
        <f>WORKERS!C22</f>
        <v>JAGATHRAY KANTERI</v>
      </c>
      <c r="D24" s="7"/>
      <c r="E24" s="7"/>
      <c r="F24" s="7"/>
      <c r="G24" s="7"/>
      <c r="H24" s="7"/>
      <c r="I24" s="7"/>
      <c r="J24" s="7"/>
      <c r="K24" s="5">
        <f>SUM(COUNTIF(D24:J24,"A") + COUNTIF(D24:J24,"B")) * WORKERS!D22</f>
        <v>0</v>
      </c>
    </row>
    <row r="25" spans="2:11" ht="21" customHeight="1" x14ac:dyDescent="0.25">
      <c r="B25" s="5">
        <f>WORKERS!B23</f>
        <v>20</v>
      </c>
      <c r="C25" s="8" t="str">
        <f>WORKERS!C23</f>
        <v>KAILASH</v>
      </c>
      <c r="D25" s="7"/>
      <c r="E25" s="7"/>
      <c r="F25" s="7"/>
      <c r="G25" s="7"/>
      <c r="H25" s="7"/>
      <c r="I25" s="7"/>
      <c r="J25" s="7"/>
      <c r="K25" s="5">
        <f>SUM(COUNTIF(D25:J25,"A") + COUNTIF(D25:J25,"B")) * WORKERS!D23</f>
        <v>0</v>
      </c>
    </row>
    <row r="26" spans="2:11" ht="21" customHeight="1" x14ac:dyDescent="0.25">
      <c r="B26" s="5">
        <f>WORKERS!B24</f>
        <v>21</v>
      </c>
      <c r="C26" s="8" t="str">
        <f>WORKERS!C24</f>
        <v>PRASHANTH</v>
      </c>
      <c r="D26" s="7"/>
      <c r="E26" s="7"/>
      <c r="F26" s="7"/>
      <c r="G26" s="7"/>
      <c r="H26" s="7"/>
      <c r="I26" s="7"/>
      <c r="J26" s="7"/>
      <c r="K26" s="5">
        <f>SUM(COUNTIF(D26:J26,"A") + COUNTIF(D26:J26,"B")) * WORKERS!D24</f>
        <v>0</v>
      </c>
    </row>
    <row r="27" spans="2:11" ht="21" customHeight="1" x14ac:dyDescent="0.25">
      <c r="B27" s="5">
        <f>WORKERS!B25</f>
        <v>22</v>
      </c>
      <c r="C27" s="8" t="str">
        <f>WORKERS!C25</f>
        <v>KESAV TILI</v>
      </c>
      <c r="D27" s="7"/>
      <c r="E27" s="7"/>
      <c r="F27" s="7"/>
      <c r="G27" s="7"/>
      <c r="H27" s="7"/>
      <c r="I27" s="7"/>
      <c r="J27" s="7"/>
      <c r="K27" s="5">
        <f>SUM(COUNTIF(D27:J27,"A") + COUNTIF(D27:J27,"B")) * WORKERS!D25</f>
        <v>0</v>
      </c>
    </row>
    <row r="28" spans="2:11" ht="21" customHeight="1" x14ac:dyDescent="0.25">
      <c r="B28" s="5">
        <f>WORKERS!B26</f>
        <v>23</v>
      </c>
      <c r="C28" s="8" t="str">
        <f>WORKERS!C26</f>
        <v xml:space="preserve">JAGADISH </v>
      </c>
      <c r="D28" s="7"/>
      <c r="E28" s="7"/>
      <c r="F28" s="7"/>
      <c r="G28" s="7"/>
      <c r="H28" s="7"/>
      <c r="I28" s="7"/>
      <c r="J28" s="7"/>
      <c r="K28" s="5">
        <f>SUM(COUNTIF(D28:J28,"A") + COUNTIF(D28:J28,"B")) * WORKERS!D26</f>
        <v>0</v>
      </c>
    </row>
    <row r="29" spans="2:11" ht="21" customHeight="1" x14ac:dyDescent="0.25">
      <c r="B29" s="5">
        <f>WORKERS!B27</f>
        <v>24</v>
      </c>
      <c r="C29" s="8" t="str">
        <f>WORKERS!C27</f>
        <v>LAXMIDHAR DORA</v>
      </c>
      <c r="D29" s="7"/>
      <c r="E29" s="7"/>
      <c r="F29" s="7"/>
      <c r="G29" s="7"/>
      <c r="H29" s="7"/>
      <c r="I29" s="7"/>
      <c r="J29" s="7"/>
      <c r="K29" s="5">
        <f>SUM(COUNTIF(D29:J29,"A") + COUNTIF(D29:J29,"B")) * WORKERS!D27</f>
        <v>0</v>
      </c>
    </row>
    <row r="30" spans="2:11" ht="21" customHeight="1" x14ac:dyDescent="0.25">
      <c r="B30" s="5">
        <f>WORKERS!B28</f>
        <v>25</v>
      </c>
      <c r="C30" s="8" t="str">
        <f>WORKERS!C28</f>
        <v>ANAND</v>
      </c>
      <c r="D30" s="7"/>
      <c r="E30" s="7"/>
      <c r="F30" s="7"/>
      <c r="G30" s="7"/>
      <c r="H30" s="7"/>
      <c r="I30" s="7"/>
      <c r="J30" s="7"/>
      <c r="K30" s="5">
        <f>SUM(COUNTIF(D30:J30,"A") + COUNTIF(D30:J30,"B")) * WORKERS!D28</f>
        <v>0</v>
      </c>
    </row>
    <row r="31" spans="2:11" ht="21" customHeight="1" x14ac:dyDescent="0.25">
      <c r="B31" s="5">
        <f>WORKERS!B29</f>
        <v>26</v>
      </c>
      <c r="C31" s="8" t="str">
        <f>WORKERS!C29</f>
        <v>TRILOCHAN</v>
      </c>
      <c r="D31" s="7"/>
      <c r="E31" s="7"/>
      <c r="F31" s="7"/>
      <c r="G31" s="7"/>
      <c r="H31" s="7"/>
      <c r="I31" s="7"/>
      <c r="J31" s="7"/>
      <c r="K31" s="5">
        <f>SUM(COUNTIF(D31:J31,"A") + COUNTIF(D31:J31,"B")) * WORKERS!D29</f>
        <v>0</v>
      </c>
    </row>
    <row r="32" spans="2:11" ht="21" customHeight="1" x14ac:dyDescent="0.25">
      <c r="B32" s="5">
        <f>WORKERS!B30</f>
        <v>27</v>
      </c>
      <c r="C32" s="8" t="str">
        <f>WORKERS!C30</f>
        <v>GULUK VRYANG</v>
      </c>
      <c r="D32" s="7"/>
      <c r="E32" s="7"/>
      <c r="F32" s="7"/>
      <c r="G32" s="7"/>
      <c r="H32" s="7"/>
      <c r="I32" s="7"/>
      <c r="J32" s="7"/>
      <c r="K32" s="5">
        <f>SUM(COUNTIF(D32:J32,"A") + COUNTIF(D32:J32,"B")) * WORKERS!D30</f>
        <v>0</v>
      </c>
    </row>
    <row r="33" spans="2:11" ht="21" customHeight="1" x14ac:dyDescent="0.25">
      <c r="B33" s="5">
        <f>WORKERS!B31</f>
        <v>28</v>
      </c>
      <c r="C33" s="8" t="str">
        <f>WORKERS!C31</f>
        <v>BALABHADRA DORA</v>
      </c>
      <c r="D33" s="7"/>
      <c r="E33" s="7"/>
      <c r="F33" s="7"/>
      <c r="G33" s="7"/>
      <c r="H33" s="7"/>
      <c r="I33" s="7"/>
      <c r="J33" s="7"/>
      <c r="K33" s="5">
        <f>SUM(COUNTIF(D33:J33,"A") + COUNTIF(D33:J33,"B")) * WORKERS!D31</f>
        <v>0</v>
      </c>
    </row>
    <row r="34" spans="2:11" ht="21" customHeight="1" x14ac:dyDescent="0.25">
      <c r="B34" s="5">
        <f>WORKERS!B32</f>
        <v>29</v>
      </c>
      <c r="C34" s="8" t="str">
        <f>WORKERS!C32</f>
        <v>RANJITH</v>
      </c>
      <c r="D34" s="7"/>
      <c r="E34" s="7"/>
      <c r="F34" s="7"/>
      <c r="G34" s="7"/>
      <c r="H34" s="7"/>
      <c r="I34" s="7"/>
      <c r="J34" s="7"/>
      <c r="K34" s="5">
        <f>SUM(COUNTIF(D34:J34,"A") + COUNTIF(D34:J34,"B")) * WORKERS!D32</f>
        <v>0</v>
      </c>
    </row>
    <row r="35" spans="2:11" ht="21" customHeight="1" x14ac:dyDescent="0.25">
      <c r="B35" s="5">
        <f>WORKERS!B33</f>
        <v>30</v>
      </c>
      <c r="C35" s="8" t="str">
        <f>WORKERS!C33</f>
        <v>JAGADISH DORA</v>
      </c>
      <c r="D35" s="7"/>
      <c r="E35" s="7"/>
      <c r="F35" s="7"/>
      <c r="G35" s="7"/>
      <c r="H35" s="7"/>
      <c r="I35" s="7"/>
      <c r="J35" s="7"/>
      <c r="K35" s="5">
        <f>SUM(COUNTIF(D35:J35,"A") + COUNTIF(D35:J35,"B")) * WORKERS!D33</f>
        <v>0</v>
      </c>
    </row>
    <row r="36" spans="2:11" ht="21" customHeight="1" x14ac:dyDescent="0.25">
      <c r="B36" s="5">
        <f>WORKERS!B34</f>
        <v>31</v>
      </c>
      <c r="C36" s="8" t="str">
        <f>WORKERS!C34</f>
        <v>MUNNA</v>
      </c>
      <c r="D36" s="7"/>
      <c r="E36" s="7"/>
      <c r="F36" s="7"/>
      <c r="G36" s="7"/>
      <c r="H36" s="7"/>
      <c r="I36" s="7"/>
      <c r="J36" s="7"/>
      <c r="K36" s="5">
        <f>SUM(COUNTIF(D36:J36,"A") + COUNTIF(D36:J36,"B")) * WORKERS!D34</f>
        <v>0</v>
      </c>
    </row>
    <row r="37" spans="2:11" ht="21" customHeight="1" x14ac:dyDescent="0.25">
      <c r="B37" s="5">
        <f>WORKERS!B35</f>
        <v>32</v>
      </c>
      <c r="C37" s="8" t="str">
        <f>WORKERS!C35</f>
        <v>DEVI</v>
      </c>
      <c r="D37" s="7"/>
      <c r="E37" s="7"/>
      <c r="F37" s="7"/>
      <c r="G37" s="7"/>
      <c r="H37" s="7"/>
      <c r="I37" s="7"/>
      <c r="J37" s="7"/>
      <c r="K37" s="5">
        <f>SUM(COUNTIF(D37:J37,"A") + COUNTIF(D37:J37,"B")) * WORKERS!D35</f>
        <v>0</v>
      </c>
    </row>
    <row r="38" spans="2:11" ht="21" customHeight="1" x14ac:dyDescent="0.25">
      <c r="B38" s="5">
        <f>WORKERS!B36</f>
        <v>33</v>
      </c>
      <c r="C38" s="8" t="str">
        <f>WORKERS!C36</f>
        <v>KONDAMMA</v>
      </c>
      <c r="D38" s="7"/>
      <c r="E38" s="7"/>
      <c r="F38" s="7"/>
      <c r="G38" s="7"/>
      <c r="H38" s="7"/>
      <c r="I38" s="7"/>
      <c r="J38" s="7"/>
      <c r="K38" s="5">
        <f>SUM(COUNTIF(D38:J38,"A") + COUNTIF(D38:J38,"B")) * WORKERS!D36</f>
        <v>0</v>
      </c>
    </row>
    <row r="39" spans="2:11" ht="21" customHeight="1" x14ac:dyDescent="0.25">
      <c r="B39" s="5">
        <f>WORKERS!B37</f>
        <v>34</v>
      </c>
      <c r="C39" s="8" t="str">
        <f>WORKERS!C37</f>
        <v>YERNAMMA</v>
      </c>
      <c r="D39" s="7"/>
      <c r="E39" s="7"/>
      <c r="F39" s="7"/>
      <c r="G39" s="7"/>
      <c r="H39" s="7"/>
      <c r="I39" s="7"/>
      <c r="J39" s="7"/>
      <c r="K39" s="5">
        <f>SUM(COUNTIF(D39:J39,"A") + COUNTIF(D39:J39,"B")) * WORKERS!D37</f>
        <v>0</v>
      </c>
    </row>
    <row r="40" spans="2:11" ht="21" customHeight="1" x14ac:dyDescent="0.25">
      <c r="B40" s="5">
        <f>WORKERS!B38</f>
        <v>35</v>
      </c>
      <c r="C40" s="8" t="str">
        <f>WORKERS!C38</f>
        <v>RAJENDRA DORA</v>
      </c>
      <c r="D40" s="7"/>
      <c r="E40" s="7"/>
      <c r="F40" s="7"/>
      <c r="G40" s="7"/>
      <c r="H40" s="7"/>
      <c r="I40" s="7"/>
      <c r="J40" s="7"/>
      <c r="K40" s="5">
        <f>SUM(COUNTIF(D40:J40,"A") + COUNTIF(D40:J40,"B")) * WORKERS!D38</f>
        <v>0</v>
      </c>
    </row>
    <row r="41" spans="2:11" ht="21" hidden="1" customHeight="1" x14ac:dyDescent="0.25">
      <c r="B41" s="5">
        <f>WORKERS!B39</f>
        <v>0</v>
      </c>
      <c r="C41" s="8">
        <f>WORKERS!C39</f>
        <v>0</v>
      </c>
      <c r="D41" s="7"/>
      <c r="E41" s="7"/>
      <c r="F41" s="7"/>
      <c r="G41" s="7"/>
      <c r="H41" s="7"/>
      <c r="I41" s="7"/>
      <c r="J41" s="7"/>
      <c r="K41" s="5">
        <f>SUM(COUNTIF(D41:J41,"A") + COUNTIF(D41:J41,"B")) * WORKERS!D39</f>
        <v>0</v>
      </c>
    </row>
    <row r="42" spans="2:11" ht="21" hidden="1" customHeight="1" x14ac:dyDescent="0.25">
      <c r="B42" s="5">
        <f>WORKERS!B40</f>
        <v>0</v>
      </c>
      <c r="C42" s="8">
        <f>WORKERS!C40</f>
        <v>0</v>
      </c>
      <c r="D42" s="7"/>
      <c r="E42" s="7"/>
      <c r="F42" s="7"/>
      <c r="G42" s="7"/>
      <c r="H42" s="7"/>
      <c r="I42" s="7"/>
      <c r="J42" s="7"/>
      <c r="K42" s="5">
        <f>SUM(COUNTIF(D42:J42,"A") + COUNTIF(D42:J42,"B")) * WORKERS!D40</f>
        <v>0</v>
      </c>
    </row>
    <row r="43" spans="2:11" ht="21" hidden="1" customHeight="1" x14ac:dyDescent="0.25">
      <c r="B43" s="5">
        <f>WORKERS!B41</f>
        <v>0</v>
      </c>
      <c r="C43" s="8">
        <f>WORKERS!C41</f>
        <v>0</v>
      </c>
      <c r="D43" s="7"/>
      <c r="E43" s="7"/>
      <c r="F43" s="7"/>
      <c r="G43" s="7"/>
      <c r="H43" s="7"/>
      <c r="I43" s="7"/>
      <c r="J43" s="7"/>
      <c r="K43" s="5">
        <f>SUM(COUNTIF(D43:J43,"A") + COUNTIF(D43:J43,"B")) * WORKERS!D41</f>
        <v>0</v>
      </c>
    </row>
    <row r="44" spans="2:11" ht="21" hidden="1" customHeight="1" x14ac:dyDescent="0.25">
      <c r="B44" s="5">
        <f>WORKERS!B42</f>
        <v>0</v>
      </c>
      <c r="C44" s="8">
        <f>WORKERS!C42</f>
        <v>0</v>
      </c>
      <c r="D44" s="7"/>
      <c r="E44" s="7"/>
      <c r="F44" s="7"/>
      <c r="G44" s="7"/>
      <c r="H44" s="7"/>
      <c r="I44" s="7"/>
      <c r="J44" s="7"/>
      <c r="K44" s="5">
        <f>SUM(COUNTIF(D44:J44,"A") + COUNTIF(D44:J44,"B")) * WORKERS!D42</f>
        <v>0</v>
      </c>
    </row>
    <row r="45" spans="2:11" ht="21" hidden="1" customHeight="1" x14ac:dyDescent="0.25">
      <c r="B45" s="5">
        <f>WORKERS!B43</f>
        <v>0</v>
      </c>
      <c r="C45" s="8">
        <f>WORKERS!C43</f>
        <v>0</v>
      </c>
      <c r="D45" s="7"/>
      <c r="E45" s="7"/>
      <c r="F45" s="7"/>
      <c r="G45" s="7"/>
      <c r="H45" s="7"/>
      <c r="I45" s="7"/>
      <c r="J45" s="7"/>
      <c r="K45" s="5">
        <f>SUM(COUNTIF(D45:J45,"A") + COUNTIF(D45:J45,"B")) * WORKERS!D43</f>
        <v>0</v>
      </c>
    </row>
    <row r="46" spans="2:11" ht="21" hidden="1" customHeight="1" x14ac:dyDescent="0.25">
      <c r="B46" s="5">
        <f>WORKERS!B44</f>
        <v>0</v>
      </c>
      <c r="C46" s="8">
        <f>WORKERS!C44</f>
        <v>0</v>
      </c>
      <c r="D46" s="7"/>
      <c r="E46" s="7"/>
      <c r="F46" s="7"/>
      <c r="G46" s="7"/>
      <c r="H46" s="7"/>
      <c r="I46" s="7"/>
      <c r="J46" s="7"/>
      <c r="K46" s="5">
        <f>SUM(COUNTIF(D46:J46,"A") + COUNTIF(D46:J46,"B")) * WORKERS!D44</f>
        <v>0</v>
      </c>
    </row>
    <row r="47" spans="2:11" ht="21" hidden="1" customHeight="1" x14ac:dyDescent="0.25">
      <c r="B47" s="5">
        <f>WORKERS!B45</f>
        <v>0</v>
      </c>
      <c r="C47" s="8">
        <f>WORKERS!C45</f>
        <v>0</v>
      </c>
      <c r="D47" s="7"/>
      <c r="E47" s="7"/>
      <c r="F47" s="7"/>
      <c r="G47" s="7"/>
      <c r="H47" s="7"/>
      <c r="I47" s="7"/>
      <c r="J47" s="7"/>
      <c r="K47" s="5">
        <f>SUM(COUNTIF(D47:J47,"A") + COUNTIF(D47:J47,"B")) * WORKERS!D45</f>
        <v>0</v>
      </c>
    </row>
    <row r="48" spans="2:11" ht="21" hidden="1" customHeight="1" x14ac:dyDescent="0.25">
      <c r="B48" s="5">
        <f>WORKERS!B46</f>
        <v>0</v>
      </c>
      <c r="C48" s="8">
        <f>WORKERS!C46</f>
        <v>0</v>
      </c>
      <c r="D48" s="7"/>
      <c r="E48" s="7"/>
      <c r="F48" s="7"/>
      <c r="G48" s="7"/>
      <c r="H48" s="7"/>
      <c r="I48" s="7"/>
      <c r="J48" s="7"/>
      <c r="K48" s="5">
        <f>SUM(COUNTIF(D48:J48,"A") + COUNTIF(D48:J48,"B")) * WORKERS!D46</f>
        <v>0</v>
      </c>
    </row>
    <row r="49" spans="2:11" ht="21" hidden="1" customHeight="1" x14ac:dyDescent="0.25">
      <c r="B49" s="5">
        <f>WORKERS!B47</f>
        <v>0</v>
      </c>
      <c r="C49" s="8">
        <f>WORKERS!C47</f>
        <v>0</v>
      </c>
      <c r="D49" s="7"/>
      <c r="E49" s="7"/>
      <c r="F49" s="7"/>
      <c r="G49" s="7"/>
      <c r="H49" s="7"/>
      <c r="I49" s="7"/>
      <c r="J49" s="7"/>
      <c r="K49" s="5">
        <f>SUM(COUNTIF(D49:J49,"A") + COUNTIF(D49:J49,"B")) * WORKERS!D47</f>
        <v>0</v>
      </c>
    </row>
    <row r="50" spans="2:11" ht="21" hidden="1" customHeight="1" x14ac:dyDescent="0.25">
      <c r="B50" s="5">
        <f>WORKERS!B48</f>
        <v>0</v>
      </c>
      <c r="C50" s="8">
        <f>WORKERS!C48</f>
        <v>0</v>
      </c>
      <c r="D50" s="7"/>
      <c r="E50" s="7"/>
      <c r="F50" s="7"/>
      <c r="G50" s="7"/>
      <c r="H50" s="7"/>
      <c r="I50" s="7"/>
      <c r="J50" s="7"/>
      <c r="K50" s="5">
        <f>SUM(COUNTIF(D50:J50,"A") + COUNTIF(D50:J50,"B")) * WORKERS!D48</f>
        <v>0</v>
      </c>
    </row>
    <row r="51" spans="2:11" ht="21" hidden="1" customHeight="1" x14ac:dyDescent="0.25">
      <c r="B51" s="5">
        <f>WORKERS!B49</f>
        <v>0</v>
      </c>
      <c r="C51" s="8">
        <f>WORKERS!C49</f>
        <v>0</v>
      </c>
      <c r="D51" s="7"/>
      <c r="E51" s="7"/>
      <c r="F51" s="7"/>
      <c r="G51" s="7"/>
      <c r="H51" s="7"/>
      <c r="I51" s="7"/>
      <c r="J51" s="7"/>
      <c r="K51" s="5">
        <f>SUM(COUNTIF(D51:J51,"A") + COUNTIF(D51:J51,"B")) * WORKERS!D49</f>
        <v>0</v>
      </c>
    </row>
    <row r="52" spans="2:11" ht="21" hidden="1" customHeight="1" x14ac:dyDescent="0.25">
      <c r="B52" s="5">
        <f>WORKERS!B50</f>
        <v>0</v>
      </c>
      <c r="C52" s="8">
        <f>WORKERS!C50</f>
        <v>0</v>
      </c>
      <c r="D52" s="7"/>
      <c r="E52" s="7"/>
      <c r="F52" s="7"/>
      <c r="G52" s="7"/>
      <c r="H52" s="7"/>
      <c r="I52" s="7"/>
      <c r="J52" s="7"/>
      <c r="K52" s="5">
        <f>SUM(COUNTIF(D52:J52,"A") + COUNTIF(D52:J52,"B")) * WORKERS!D50</f>
        <v>0</v>
      </c>
    </row>
    <row r="53" spans="2:11" ht="21" hidden="1" customHeight="1" x14ac:dyDescent="0.25">
      <c r="B53" s="5">
        <f>WORKERS!B51</f>
        <v>0</v>
      </c>
      <c r="C53" s="8">
        <f>WORKERS!C51</f>
        <v>0</v>
      </c>
      <c r="D53" s="7"/>
      <c r="E53" s="7"/>
      <c r="F53" s="7"/>
      <c r="G53" s="7"/>
      <c r="H53" s="7"/>
      <c r="I53" s="7"/>
      <c r="J53" s="7"/>
      <c r="K53" s="5">
        <f>SUM(COUNTIF(D53:J53,"A") + COUNTIF(D53:J53,"B")) * WORKERS!D51</f>
        <v>0</v>
      </c>
    </row>
    <row r="54" spans="2:11" ht="21" hidden="1" customHeight="1" x14ac:dyDescent="0.25">
      <c r="B54" s="5">
        <f>WORKERS!B52</f>
        <v>0</v>
      </c>
      <c r="C54" s="8">
        <f>WORKERS!C52</f>
        <v>0</v>
      </c>
      <c r="D54" s="7"/>
      <c r="E54" s="7"/>
      <c r="F54" s="7"/>
      <c r="G54" s="7"/>
      <c r="H54" s="7"/>
      <c r="I54" s="7"/>
      <c r="J54" s="7"/>
      <c r="K54" s="5">
        <f>SUM(COUNTIF(D54:J54,"A") + COUNTIF(D54:J54,"B")) * WORKERS!D52</f>
        <v>0</v>
      </c>
    </row>
    <row r="55" spans="2:11" ht="21" hidden="1" customHeight="1" x14ac:dyDescent="0.25">
      <c r="B55" s="5">
        <f>WORKERS!B53</f>
        <v>0</v>
      </c>
      <c r="C55" s="8">
        <f>WORKERS!C53</f>
        <v>0</v>
      </c>
      <c r="D55" s="7"/>
      <c r="E55" s="7"/>
      <c r="F55" s="7"/>
      <c r="G55" s="7"/>
      <c r="H55" s="7"/>
      <c r="I55" s="7"/>
      <c r="J55" s="7"/>
      <c r="K55" s="5">
        <f>SUM(COUNTIF(D55:J55,"A") + COUNTIF(D55:J55,"B")) * WORKERS!D53</f>
        <v>0</v>
      </c>
    </row>
    <row r="56" spans="2:11" ht="21" hidden="1" customHeight="1" x14ac:dyDescent="0.25">
      <c r="B56" s="5">
        <f>WORKERS!B54</f>
        <v>0</v>
      </c>
      <c r="C56" s="8">
        <f>WORKERS!C54</f>
        <v>0</v>
      </c>
      <c r="D56" s="7"/>
      <c r="E56" s="7"/>
      <c r="F56" s="7"/>
      <c r="G56" s="7"/>
      <c r="H56" s="7"/>
      <c r="I56" s="7"/>
      <c r="J56" s="7"/>
      <c r="K56" s="5">
        <f>SUM(COUNTIF(D56:J56,"A") + COUNTIF(D56:J56,"B")) * WORKERS!D54</f>
        <v>0</v>
      </c>
    </row>
    <row r="57" spans="2:11" ht="21" hidden="1" customHeight="1" x14ac:dyDescent="0.25">
      <c r="B57" s="5">
        <f>WORKERS!B55</f>
        <v>0</v>
      </c>
      <c r="C57" s="8">
        <f>WORKERS!C55</f>
        <v>0</v>
      </c>
      <c r="D57" s="7"/>
      <c r="E57" s="7"/>
      <c r="F57" s="7"/>
      <c r="G57" s="7"/>
      <c r="H57" s="7"/>
      <c r="I57" s="7"/>
      <c r="J57" s="7"/>
      <c r="K57" s="5">
        <f>SUM(COUNTIF(D57:J57,"A") + COUNTIF(D57:J57,"B")) * WORKERS!D55</f>
        <v>0</v>
      </c>
    </row>
    <row r="58" spans="2:11" ht="21" hidden="1" customHeight="1" x14ac:dyDescent="0.25">
      <c r="B58" s="5">
        <f>WORKERS!B56</f>
        <v>0</v>
      </c>
      <c r="C58" s="8">
        <f>WORKERS!C56</f>
        <v>0</v>
      </c>
      <c r="D58" s="7"/>
      <c r="E58" s="7"/>
      <c r="F58" s="7"/>
      <c r="G58" s="7"/>
      <c r="H58" s="7"/>
      <c r="I58" s="7"/>
      <c r="J58" s="7"/>
      <c r="K58" s="5">
        <f>SUM(COUNTIF(D58:J58,"A") + COUNTIF(D58:J58,"B")) * WORKERS!D56</f>
        <v>0</v>
      </c>
    </row>
    <row r="59" spans="2:11" ht="21" hidden="1" customHeight="1" x14ac:dyDescent="0.25">
      <c r="B59" s="5">
        <f>WORKERS!B57</f>
        <v>0</v>
      </c>
      <c r="C59" s="8">
        <f>WORKERS!C57</f>
        <v>0</v>
      </c>
      <c r="D59" s="7"/>
      <c r="E59" s="7"/>
      <c r="F59" s="7"/>
      <c r="G59" s="7"/>
      <c r="H59" s="7"/>
      <c r="I59" s="7"/>
      <c r="J59" s="7"/>
      <c r="K59" s="5">
        <f>SUM(COUNTIF(D59:J59,"A") + COUNTIF(D59:J59,"B")) * WORKERS!D57</f>
        <v>0</v>
      </c>
    </row>
    <row r="60" spans="2:11" ht="21" hidden="1" customHeight="1" x14ac:dyDescent="0.25">
      <c r="B60" s="5">
        <f>WORKERS!B58</f>
        <v>0</v>
      </c>
      <c r="C60" s="8">
        <f>WORKERS!C58</f>
        <v>0</v>
      </c>
      <c r="D60" s="7"/>
      <c r="E60" s="7"/>
      <c r="F60" s="7"/>
      <c r="G60" s="7"/>
      <c r="H60" s="7"/>
      <c r="I60" s="7"/>
      <c r="J60" s="7"/>
      <c r="K60" s="5">
        <f>SUM(COUNTIF(D60:J60,"A") + COUNTIF(D60:J60,"B")) * WORKERS!D58</f>
        <v>0</v>
      </c>
    </row>
    <row r="61" spans="2:11" ht="21" hidden="1" customHeight="1" x14ac:dyDescent="0.25">
      <c r="B61" s="5">
        <f>WORKERS!B59</f>
        <v>0</v>
      </c>
      <c r="C61" s="8">
        <f>WORKERS!C59</f>
        <v>0</v>
      </c>
      <c r="D61" s="7"/>
      <c r="E61" s="7"/>
      <c r="F61" s="7"/>
      <c r="G61" s="7"/>
      <c r="H61" s="7"/>
      <c r="I61" s="7"/>
      <c r="J61" s="7"/>
      <c r="K61" s="5">
        <f>SUM(COUNTIF(D61:J61,"A") + COUNTIF(D61:J61,"B")) * WORKERS!D59</f>
        <v>0</v>
      </c>
    </row>
    <row r="62" spans="2:11" ht="21" hidden="1" customHeight="1" x14ac:dyDescent="0.25">
      <c r="B62" s="5">
        <f>WORKERS!B60</f>
        <v>0</v>
      </c>
      <c r="C62" s="8">
        <f>WORKERS!C60</f>
        <v>0</v>
      </c>
      <c r="D62" s="7"/>
      <c r="E62" s="7"/>
      <c r="F62" s="7"/>
      <c r="G62" s="7"/>
      <c r="H62" s="7"/>
      <c r="I62" s="7"/>
      <c r="J62" s="7"/>
      <c r="K62" s="5">
        <f>SUM(COUNTIF(D62:J62,"A") + COUNTIF(D62:J62,"B")) * WORKERS!D60</f>
        <v>0</v>
      </c>
    </row>
    <row r="63" spans="2:11" ht="21" hidden="1" customHeight="1" x14ac:dyDescent="0.25">
      <c r="B63" s="5">
        <f>WORKERS!B61</f>
        <v>0</v>
      </c>
      <c r="C63" s="8">
        <f>WORKERS!C61</f>
        <v>0</v>
      </c>
      <c r="D63" s="7"/>
      <c r="E63" s="7"/>
      <c r="F63" s="7"/>
      <c r="G63" s="7"/>
      <c r="H63" s="7"/>
      <c r="I63" s="7"/>
      <c r="J63" s="7"/>
      <c r="K63" s="5">
        <f>SUM(COUNTIF(D63:J63,"A") + COUNTIF(D63:J63,"B")) * WORKERS!D61</f>
        <v>0</v>
      </c>
    </row>
    <row r="64" spans="2:11" ht="21" hidden="1" customHeight="1" x14ac:dyDescent="0.25">
      <c r="B64" s="5">
        <f>WORKERS!B62</f>
        <v>0</v>
      </c>
      <c r="C64" s="8">
        <f>WORKERS!C62</f>
        <v>0</v>
      </c>
      <c r="D64" s="7"/>
      <c r="E64" s="7"/>
      <c r="F64" s="7"/>
      <c r="G64" s="7"/>
      <c r="H64" s="7"/>
      <c r="I64" s="7"/>
      <c r="J64" s="7"/>
      <c r="K64" s="5">
        <f>SUM(COUNTIF(D64:J64,"A") + COUNTIF(D64:J64,"B")) * WORKERS!D62</f>
        <v>0</v>
      </c>
    </row>
    <row r="65" spans="2:11" ht="21" hidden="1" customHeight="1" x14ac:dyDescent="0.25">
      <c r="B65" s="5">
        <f>WORKERS!B63</f>
        <v>0</v>
      </c>
      <c r="C65" s="8">
        <f>WORKERS!C63</f>
        <v>0</v>
      </c>
      <c r="D65" s="7"/>
      <c r="E65" s="7"/>
      <c r="F65" s="7"/>
      <c r="G65" s="7"/>
      <c r="H65" s="7"/>
      <c r="I65" s="7"/>
      <c r="J65" s="7"/>
      <c r="K65" s="5">
        <f>SUM(COUNTIF(D65:J65,"A") + COUNTIF(D65:J65,"B")) * WORKERS!D63</f>
        <v>0</v>
      </c>
    </row>
    <row r="66" spans="2:11" ht="21" hidden="1" customHeight="1" x14ac:dyDescent="0.25">
      <c r="B66" s="5">
        <f>WORKERS!B64</f>
        <v>0</v>
      </c>
      <c r="C66" s="8">
        <f>WORKERS!C64</f>
        <v>0</v>
      </c>
      <c r="D66" s="7"/>
      <c r="E66" s="7"/>
      <c r="F66" s="7"/>
      <c r="G66" s="7"/>
      <c r="H66" s="7"/>
      <c r="I66" s="7"/>
      <c r="J66" s="7"/>
      <c r="K66" s="5">
        <f>SUM(COUNTIF(D66:J66,"A") + COUNTIF(D66:J66,"B")) * WORKERS!D64</f>
        <v>0</v>
      </c>
    </row>
    <row r="67" spans="2:11" ht="21" hidden="1" customHeight="1" x14ac:dyDescent="0.25">
      <c r="B67" s="5">
        <f>WORKERS!B65</f>
        <v>0</v>
      </c>
      <c r="C67" s="8">
        <f>WORKERS!C65</f>
        <v>0</v>
      </c>
      <c r="D67" s="7"/>
      <c r="E67" s="7"/>
      <c r="F67" s="7"/>
      <c r="G67" s="7"/>
      <c r="H67" s="7"/>
      <c r="I67" s="7"/>
      <c r="J67" s="7"/>
      <c r="K67" s="5">
        <f>SUM(COUNTIF(D67:J67,"A") + COUNTIF(D67:J67,"B")) * WORKERS!D65</f>
        <v>0</v>
      </c>
    </row>
    <row r="68" spans="2:11" ht="21" hidden="1" customHeight="1" x14ac:dyDescent="0.25">
      <c r="B68" s="5">
        <f>WORKERS!B66</f>
        <v>0</v>
      </c>
      <c r="C68" s="8">
        <f>WORKERS!C66</f>
        <v>0</v>
      </c>
      <c r="D68" s="7"/>
      <c r="E68" s="7"/>
      <c r="F68" s="7"/>
      <c r="G68" s="7"/>
      <c r="H68" s="7"/>
      <c r="I68" s="7"/>
      <c r="J68" s="7"/>
      <c r="K68" s="5">
        <f>SUM(COUNTIF(D68:J68,"A") + COUNTIF(D68:J68,"B")) * WORKERS!D66</f>
        <v>0</v>
      </c>
    </row>
    <row r="69" spans="2:11" ht="21" hidden="1" customHeight="1" x14ac:dyDescent="0.25">
      <c r="B69" s="5">
        <f>WORKERS!B67</f>
        <v>0</v>
      </c>
      <c r="C69" s="8">
        <f>WORKERS!C67</f>
        <v>0</v>
      </c>
      <c r="D69" s="7"/>
      <c r="E69" s="7"/>
      <c r="F69" s="7"/>
      <c r="G69" s="7"/>
      <c r="H69" s="7"/>
      <c r="I69" s="7"/>
      <c r="J69" s="7"/>
      <c r="K69" s="5">
        <f>SUM(COUNTIF(D69:J69,"A") + COUNTIF(D69:J69,"B")) * WORKERS!D67</f>
        <v>0</v>
      </c>
    </row>
    <row r="70" spans="2:11" ht="21" hidden="1" customHeight="1" x14ac:dyDescent="0.25">
      <c r="B70" s="5">
        <f>WORKERS!B68</f>
        <v>0</v>
      </c>
      <c r="C70" s="8">
        <f>WORKERS!C68</f>
        <v>0</v>
      </c>
      <c r="D70" s="7"/>
      <c r="E70" s="7"/>
      <c r="F70" s="7"/>
      <c r="G70" s="7"/>
      <c r="H70" s="7"/>
      <c r="I70" s="7"/>
      <c r="J70" s="7"/>
      <c r="K70" s="5">
        <f>SUM(COUNTIF(D70:J70,"A") + COUNTIF(D70:J70,"B")) * WORKERS!D68</f>
        <v>0</v>
      </c>
    </row>
    <row r="71" spans="2:11" ht="21" hidden="1" customHeight="1" x14ac:dyDescent="0.25">
      <c r="B71" s="5">
        <f>WORKERS!B69</f>
        <v>0</v>
      </c>
      <c r="C71" s="8">
        <f>WORKERS!C69</f>
        <v>0</v>
      </c>
      <c r="D71" s="7"/>
      <c r="E71" s="7"/>
      <c r="F71" s="7"/>
      <c r="G71" s="7"/>
      <c r="H71" s="7"/>
      <c r="I71" s="7"/>
      <c r="J71" s="7"/>
      <c r="K71" s="5">
        <f>SUM(COUNTIF(D71:J71,"A") + COUNTIF(D71:J71,"B")) * WORKERS!D69</f>
        <v>0</v>
      </c>
    </row>
    <row r="72" spans="2:11" ht="21" hidden="1" customHeight="1" x14ac:dyDescent="0.25">
      <c r="B72" s="5">
        <f>WORKERS!B70</f>
        <v>0</v>
      </c>
      <c r="C72" s="8">
        <f>WORKERS!C70</f>
        <v>0</v>
      </c>
      <c r="D72" s="7"/>
      <c r="E72" s="7"/>
      <c r="F72" s="7"/>
      <c r="G72" s="7"/>
      <c r="H72" s="7"/>
      <c r="I72" s="7"/>
      <c r="J72" s="7"/>
      <c r="K72" s="5">
        <f>SUM(COUNTIF(D72:J72,"A") + COUNTIF(D72:J72,"B")) * WORKERS!D70</f>
        <v>0</v>
      </c>
    </row>
    <row r="73" spans="2:11" ht="21" hidden="1" customHeight="1" x14ac:dyDescent="0.25">
      <c r="B73" s="5">
        <f>WORKERS!B71</f>
        <v>0</v>
      </c>
      <c r="C73" s="8">
        <f>WORKERS!C71</f>
        <v>0</v>
      </c>
      <c r="D73" s="7"/>
      <c r="E73" s="7"/>
      <c r="F73" s="7"/>
      <c r="G73" s="7"/>
      <c r="H73" s="7"/>
      <c r="I73" s="7"/>
      <c r="J73" s="7"/>
      <c r="K73" s="5">
        <f>SUM(COUNTIF(D73:J73,"A") + COUNTIF(D73:J73,"B")) * WORKERS!D71</f>
        <v>0</v>
      </c>
    </row>
    <row r="74" spans="2:11" ht="27" customHeight="1" x14ac:dyDescent="0.25">
      <c r="B74" s="39" t="s">
        <v>59</v>
      </c>
      <c r="C74" s="40"/>
      <c r="D74" s="6">
        <f>COUNTIF(D6:D73, "A") + COUNTIF(D6:D73, "B")</f>
        <v>0</v>
      </c>
      <c r="E74" s="6">
        <f t="shared" ref="E74:J74" si="0">COUNTIF(E6:E73, "A") + COUNTIF(E6:E73, "B")</f>
        <v>0</v>
      </c>
      <c r="F74" s="6">
        <f t="shared" si="0"/>
        <v>0</v>
      </c>
      <c r="G74" s="6">
        <f t="shared" si="0"/>
        <v>0</v>
      </c>
      <c r="H74" s="6">
        <f t="shared" si="0"/>
        <v>0</v>
      </c>
      <c r="I74" s="6">
        <f t="shared" si="0"/>
        <v>0</v>
      </c>
      <c r="J74" s="6">
        <f t="shared" si="0"/>
        <v>0</v>
      </c>
      <c r="K74" s="41">
        <f>SUM(K6:K73)</f>
        <v>0</v>
      </c>
    </row>
    <row r="75" spans="2:11" x14ac:dyDescent="0.25">
      <c r="C75" s="9"/>
    </row>
  </sheetData>
  <mergeCells count="6">
    <mergeCell ref="B74:C74"/>
    <mergeCell ref="B2:J3"/>
    <mergeCell ref="B4:B5"/>
    <mergeCell ref="C4:C5"/>
    <mergeCell ref="D4:J4"/>
    <mergeCell ref="K4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BA42-9CE6-485E-A330-62AC986CCEEF}">
  <dimension ref="B2:K75"/>
  <sheetViews>
    <sheetView topLeftCell="A4" workbookViewId="0">
      <selection activeCell="D5" sqref="D5"/>
    </sheetView>
  </sheetViews>
  <sheetFormatPr defaultRowHeight="15" x14ac:dyDescent="0.25"/>
  <cols>
    <col min="2" max="2" width="9.140625" style="4"/>
    <col min="3" max="3" width="27.140625" customWidth="1"/>
    <col min="4" max="10" width="13.28515625" style="3" customWidth="1"/>
    <col min="11" max="11" width="26.140625" style="3" customWidth="1"/>
  </cols>
  <sheetData>
    <row r="2" spans="2:11" ht="14.25" customHeight="1" x14ac:dyDescent="0.25">
      <c r="B2" s="43" t="s">
        <v>66</v>
      </c>
      <c r="C2" s="43"/>
      <c r="D2" s="43"/>
      <c r="E2" s="43"/>
      <c r="F2" s="43"/>
      <c r="G2" s="43"/>
      <c r="H2" s="43"/>
      <c r="I2" s="43"/>
      <c r="J2" s="44"/>
      <c r="K2" s="45" t="s">
        <v>63</v>
      </c>
    </row>
    <row r="3" spans="2:11" ht="17.25" customHeight="1" x14ac:dyDescent="0.25">
      <c r="B3" s="43"/>
      <c r="C3" s="43"/>
      <c r="D3" s="43"/>
      <c r="E3" s="43"/>
      <c r="F3" s="43"/>
      <c r="G3" s="43"/>
      <c r="H3" s="43"/>
      <c r="I3" s="43"/>
      <c r="J3" s="44"/>
      <c r="K3" s="46">
        <v>45857</v>
      </c>
    </row>
    <row r="4" spans="2:11" ht="15.75" x14ac:dyDescent="0.25">
      <c r="B4" s="29" t="s">
        <v>39</v>
      </c>
      <c r="C4" s="29" t="s">
        <v>29</v>
      </c>
      <c r="D4" s="28" t="s">
        <v>70</v>
      </c>
      <c r="E4" s="28"/>
      <c r="F4" s="28"/>
      <c r="G4" s="28"/>
      <c r="H4" s="28"/>
      <c r="I4" s="28"/>
      <c r="J4" s="28"/>
      <c r="K4" s="29" t="s">
        <v>50</v>
      </c>
    </row>
    <row r="5" spans="2:11" ht="15.75" x14ac:dyDescent="0.25">
      <c r="B5" s="29"/>
      <c r="C5" s="29"/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29"/>
    </row>
    <row r="6" spans="2:11" ht="21" customHeight="1" x14ac:dyDescent="0.25">
      <c r="B6" s="5">
        <f>WORKERS!B4</f>
        <v>1</v>
      </c>
      <c r="C6" s="8" t="str">
        <f>WORKERS!C4</f>
        <v>T.DILLESWAR RAO</v>
      </c>
      <c r="D6" s="7"/>
      <c r="E6" s="7"/>
      <c r="F6" s="7"/>
      <c r="G6" s="7"/>
      <c r="H6" s="7"/>
      <c r="I6" s="7"/>
      <c r="J6" s="7"/>
      <c r="K6" s="5">
        <f>SUM(COUNTIF(D6:J6,"A") + COUNTIF(D6:J6,"B")) * WORKERS!D4</f>
        <v>0</v>
      </c>
    </row>
    <row r="7" spans="2:11" ht="21" customHeight="1" x14ac:dyDescent="0.25">
      <c r="B7" s="5">
        <f>WORKERS!B5</f>
        <v>2</v>
      </c>
      <c r="C7" s="8" t="str">
        <f>WORKERS!C5</f>
        <v>KUNJABIHARI MAJHI</v>
      </c>
      <c r="D7" s="7"/>
      <c r="E7" s="7"/>
      <c r="F7" s="7"/>
      <c r="G7" s="7"/>
      <c r="H7" s="7"/>
      <c r="I7" s="7"/>
      <c r="J7" s="7"/>
      <c r="K7" s="5">
        <f>SUM(COUNTIF(D7:J7,"A") + COUNTIF(D7:J7,"B")) * WORKERS!D5</f>
        <v>0</v>
      </c>
    </row>
    <row r="8" spans="2:11" ht="21" customHeight="1" x14ac:dyDescent="0.25">
      <c r="B8" s="5">
        <f>WORKERS!B6</f>
        <v>3</v>
      </c>
      <c r="C8" s="8" t="str">
        <f>WORKERS!C6</f>
        <v>SUBHAS MAJHI</v>
      </c>
      <c r="D8" s="7"/>
      <c r="E8" s="7"/>
      <c r="F8" s="7"/>
      <c r="G8" s="7"/>
      <c r="H8" s="7"/>
      <c r="I8" s="7"/>
      <c r="J8" s="7"/>
      <c r="K8" s="5">
        <f>SUM(COUNTIF(D8:J8,"A") + COUNTIF(D8:J8,"B")) * WORKERS!D6</f>
        <v>0</v>
      </c>
    </row>
    <row r="9" spans="2:11" ht="21" customHeight="1" x14ac:dyDescent="0.25">
      <c r="B9" s="5">
        <f>WORKERS!B7</f>
        <v>4</v>
      </c>
      <c r="C9" s="8" t="str">
        <f>WORKERS!C7</f>
        <v>MOHITH</v>
      </c>
      <c r="D9" s="7"/>
      <c r="E9" s="7"/>
      <c r="F9" s="7"/>
      <c r="G9" s="7"/>
      <c r="H9" s="7"/>
      <c r="I9" s="7"/>
      <c r="J9" s="7"/>
      <c r="K9" s="5">
        <f>SUM(COUNTIF(D9:J9,"A") + COUNTIF(D9:J9,"B")) * WORKERS!D7</f>
        <v>0</v>
      </c>
    </row>
    <row r="10" spans="2:11" ht="21" customHeight="1" x14ac:dyDescent="0.25">
      <c r="B10" s="5">
        <f>WORKERS!B8</f>
        <v>5</v>
      </c>
      <c r="C10" s="8" t="str">
        <f>WORKERS!C8</f>
        <v>BIJAY MAJHI</v>
      </c>
      <c r="D10" s="7"/>
      <c r="E10" s="7"/>
      <c r="F10" s="7"/>
      <c r="G10" s="7"/>
      <c r="H10" s="7"/>
      <c r="I10" s="7"/>
      <c r="J10" s="7"/>
      <c r="K10" s="5">
        <f>SUM(COUNTIF(D10:J10,"A") + COUNTIF(D10:J10,"B")) * WORKERS!D8</f>
        <v>0</v>
      </c>
    </row>
    <row r="11" spans="2:11" ht="21" customHeight="1" x14ac:dyDescent="0.25">
      <c r="B11" s="5">
        <f>WORKERS!B9</f>
        <v>6</v>
      </c>
      <c r="C11" s="8" t="str">
        <f>WORKERS!C9</f>
        <v>BASANTA MAJHI</v>
      </c>
      <c r="D11" s="7"/>
      <c r="E11" s="7"/>
      <c r="F11" s="7"/>
      <c r="G11" s="7"/>
      <c r="H11" s="7"/>
      <c r="I11" s="7"/>
      <c r="J11" s="7"/>
      <c r="K11" s="5">
        <f>SUM(COUNTIF(D11:J11,"A") + COUNTIF(D11:J11,"B")) * WORKERS!D9</f>
        <v>0</v>
      </c>
    </row>
    <row r="12" spans="2:11" ht="21" customHeight="1" x14ac:dyDescent="0.25">
      <c r="B12" s="5">
        <f>WORKERS!B10</f>
        <v>7</v>
      </c>
      <c r="C12" s="8" t="str">
        <f>WORKERS!C10</f>
        <v>ROHITH MAJHI</v>
      </c>
      <c r="D12" s="7"/>
      <c r="E12" s="7"/>
      <c r="F12" s="7"/>
      <c r="G12" s="7"/>
      <c r="H12" s="7"/>
      <c r="I12" s="7"/>
      <c r="J12" s="7"/>
      <c r="K12" s="5">
        <f>SUM(COUNTIF(D12:J12,"A") + COUNTIF(D12:J12,"B")) * WORKERS!D10</f>
        <v>0</v>
      </c>
    </row>
    <row r="13" spans="2:11" ht="21" customHeight="1" x14ac:dyDescent="0.25">
      <c r="B13" s="5">
        <f>WORKERS!B11</f>
        <v>8</v>
      </c>
      <c r="C13" s="8" t="str">
        <f>WORKERS!C11</f>
        <v>JANMENJAYA BHOI</v>
      </c>
      <c r="D13" s="7"/>
      <c r="E13" s="7"/>
      <c r="F13" s="7"/>
      <c r="G13" s="7"/>
      <c r="H13" s="7"/>
      <c r="I13" s="7"/>
      <c r="J13" s="7"/>
      <c r="K13" s="5">
        <f>SUM(COUNTIF(D13:J13,"A") + COUNTIF(D13:J13,"B")) * WORKERS!D11</f>
        <v>0</v>
      </c>
    </row>
    <row r="14" spans="2:11" ht="21" customHeight="1" x14ac:dyDescent="0.25">
      <c r="B14" s="5">
        <f>WORKERS!B12</f>
        <v>9</v>
      </c>
      <c r="C14" s="8" t="str">
        <f>WORKERS!C12</f>
        <v>PURAUSTAM BANCHOR</v>
      </c>
      <c r="D14" s="7"/>
      <c r="E14" s="7"/>
      <c r="F14" s="7"/>
      <c r="G14" s="7"/>
      <c r="H14" s="7"/>
      <c r="I14" s="7"/>
      <c r="J14" s="7"/>
      <c r="K14" s="5">
        <f>SUM(COUNTIF(D14:J14,"A") + COUNTIF(D14:J14,"B")) * WORKERS!D12</f>
        <v>0</v>
      </c>
    </row>
    <row r="15" spans="2:11" ht="21" customHeight="1" x14ac:dyDescent="0.25">
      <c r="B15" s="5">
        <f>WORKERS!B13</f>
        <v>10</v>
      </c>
      <c r="C15" s="8" t="str">
        <f>WORKERS!C13</f>
        <v>THABIR GOUD</v>
      </c>
      <c r="D15" s="7"/>
      <c r="E15" s="7"/>
      <c r="F15" s="7"/>
      <c r="G15" s="7"/>
      <c r="H15" s="7"/>
      <c r="I15" s="7"/>
      <c r="J15" s="7"/>
      <c r="K15" s="5">
        <f>SUM(COUNTIF(D15:J15,"A") + COUNTIF(D15:J15,"B")) * WORKERS!D13</f>
        <v>0</v>
      </c>
    </row>
    <row r="16" spans="2:11" ht="21" customHeight="1" x14ac:dyDescent="0.25">
      <c r="B16" s="5">
        <f>WORKERS!B14</f>
        <v>11</v>
      </c>
      <c r="C16" s="8" t="str">
        <f>WORKERS!C14</f>
        <v>SARATH</v>
      </c>
      <c r="D16" s="7"/>
      <c r="E16" s="7"/>
      <c r="F16" s="7"/>
      <c r="G16" s="7"/>
      <c r="H16" s="7"/>
      <c r="I16" s="7"/>
      <c r="J16" s="7"/>
      <c r="K16" s="5">
        <f>SUM(COUNTIF(D16:J16,"A") + COUNTIF(D16:J16,"B")) * WORKERS!D14</f>
        <v>0</v>
      </c>
    </row>
    <row r="17" spans="2:11" ht="21" customHeight="1" x14ac:dyDescent="0.25">
      <c r="B17" s="5">
        <f>WORKERS!B15</f>
        <v>12</v>
      </c>
      <c r="C17" s="8" t="str">
        <f>WORKERS!C15</f>
        <v>ANIL MAJHI</v>
      </c>
      <c r="D17" s="7"/>
      <c r="E17" s="7"/>
      <c r="F17" s="7"/>
      <c r="G17" s="7"/>
      <c r="H17" s="7"/>
      <c r="I17" s="7"/>
      <c r="J17" s="7"/>
      <c r="K17" s="5">
        <f>SUM(COUNTIF(D17:J17,"A") + COUNTIF(D17:J17,"B")) * WORKERS!D15</f>
        <v>0</v>
      </c>
    </row>
    <row r="18" spans="2:11" ht="21" customHeight="1" x14ac:dyDescent="0.25">
      <c r="B18" s="5">
        <f>WORKERS!B16</f>
        <v>13</v>
      </c>
      <c r="C18" s="8" t="str">
        <f>WORKERS!C16</f>
        <v>RASIKA GOUD</v>
      </c>
      <c r="D18" s="7"/>
      <c r="E18" s="7"/>
      <c r="F18" s="7"/>
      <c r="G18" s="7"/>
      <c r="H18" s="7"/>
      <c r="I18" s="7"/>
      <c r="J18" s="7"/>
      <c r="K18" s="5">
        <f>SUM(COUNTIF(D18:J18,"A") + COUNTIF(D18:J18,"B")) * WORKERS!D16</f>
        <v>0</v>
      </c>
    </row>
    <row r="19" spans="2:11" ht="21" customHeight="1" x14ac:dyDescent="0.25">
      <c r="B19" s="5">
        <f>WORKERS!B17</f>
        <v>14</v>
      </c>
      <c r="C19" s="8" t="str">
        <f>WORKERS!C17</f>
        <v>PARMANANDA BANCHOR</v>
      </c>
      <c r="D19" s="7"/>
      <c r="E19" s="7"/>
      <c r="F19" s="7"/>
      <c r="G19" s="7"/>
      <c r="H19" s="7"/>
      <c r="I19" s="7"/>
      <c r="J19" s="7"/>
      <c r="K19" s="5">
        <f>SUM(COUNTIF(D19:J19,"A") + COUNTIF(D19:J19,"B")) * WORKERS!D17</f>
        <v>0</v>
      </c>
    </row>
    <row r="20" spans="2:11" ht="21" customHeight="1" x14ac:dyDescent="0.25">
      <c r="B20" s="5">
        <f>WORKERS!B18</f>
        <v>15</v>
      </c>
      <c r="C20" s="8" t="str">
        <f>WORKERS!C18</f>
        <v>LINGRAJ PODH</v>
      </c>
      <c r="D20" s="7"/>
      <c r="E20" s="7"/>
      <c r="F20" s="7"/>
      <c r="G20" s="7"/>
      <c r="H20" s="7"/>
      <c r="I20" s="7"/>
      <c r="J20" s="7"/>
      <c r="K20" s="5">
        <f>SUM(COUNTIF(D20:J20,"A") + COUNTIF(D20:J20,"B")) * WORKERS!D18</f>
        <v>0</v>
      </c>
    </row>
    <row r="21" spans="2:11" ht="21" customHeight="1" x14ac:dyDescent="0.25">
      <c r="B21" s="5">
        <f>WORKERS!B19</f>
        <v>16</v>
      </c>
      <c r="C21" s="8" t="str">
        <f>WORKERS!C19</f>
        <v>RAMAKANTA BANCHOR</v>
      </c>
      <c r="D21" s="7"/>
      <c r="E21" s="7"/>
      <c r="F21" s="7"/>
      <c r="G21" s="7"/>
      <c r="H21" s="7"/>
      <c r="I21" s="7"/>
      <c r="J21" s="7"/>
      <c r="K21" s="5">
        <f>SUM(COUNTIF(D21:J21,"A") + COUNTIF(D21:J21,"B")) * WORKERS!D19</f>
        <v>0</v>
      </c>
    </row>
    <row r="22" spans="2:11" ht="21" customHeight="1" x14ac:dyDescent="0.25">
      <c r="B22" s="5">
        <f>WORKERS!B20</f>
        <v>17</v>
      </c>
      <c r="C22" s="8" t="str">
        <f>WORKERS!C20</f>
        <v>RUSHIBHOI</v>
      </c>
      <c r="D22" s="7"/>
      <c r="E22" s="7"/>
      <c r="F22" s="7"/>
      <c r="G22" s="7"/>
      <c r="H22" s="7"/>
      <c r="I22" s="7"/>
      <c r="J22" s="7"/>
      <c r="K22" s="5">
        <f>SUM(COUNTIF(D22:J22,"A") + COUNTIF(D22:J22,"B")) * WORKERS!D20</f>
        <v>0</v>
      </c>
    </row>
    <row r="23" spans="2:11" ht="21" customHeight="1" x14ac:dyDescent="0.25">
      <c r="B23" s="5">
        <f>WORKERS!B21</f>
        <v>18</v>
      </c>
      <c r="C23" s="8" t="str">
        <f>WORKERS!C21</f>
        <v>VIJAY BHOI</v>
      </c>
      <c r="D23" s="7"/>
      <c r="E23" s="7"/>
      <c r="F23" s="7"/>
      <c r="G23" s="7"/>
      <c r="H23" s="7"/>
      <c r="I23" s="7"/>
      <c r="J23" s="7"/>
      <c r="K23" s="5">
        <f>SUM(COUNTIF(D23:J23,"A") + COUNTIF(D23:J23,"B")) * WORKERS!D21</f>
        <v>0</v>
      </c>
    </row>
    <row r="24" spans="2:11" ht="21" customHeight="1" x14ac:dyDescent="0.25">
      <c r="B24" s="5">
        <f>WORKERS!B22</f>
        <v>19</v>
      </c>
      <c r="C24" s="8" t="str">
        <f>WORKERS!C22</f>
        <v>JAGATHRAY KANTERI</v>
      </c>
      <c r="D24" s="7"/>
      <c r="E24" s="7"/>
      <c r="F24" s="7"/>
      <c r="G24" s="7"/>
      <c r="H24" s="7"/>
      <c r="I24" s="7"/>
      <c r="J24" s="7"/>
      <c r="K24" s="5">
        <f>SUM(COUNTIF(D24:J24,"A") + COUNTIF(D24:J24,"B")) * WORKERS!D22</f>
        <v>0</v>
      </c>
    </row>
    <row r="25" spans="2:11" ht="21" customHeight="1" x14ac:dyDescent="0.25">
      <c r="B25" s="5">
        <f>WORKERS!B23</f>
        <v>20</v>
      </c>
      <c r="C25" s="8" t="str">
        <f>WORKERS!C23</f>
        <v>KAILASH</v>
      </c>
      <c r="D25" s="7"/>
      <c r="E25" s="7"/>
      <c r="F25" s="7"/>
      <c r="G25" s="7"/>
      <c r="H25" s="7"/>
      <c r="I25" s="7"/>
      <c r="J25" s="7"/>
      <c r="K25" s="5">
        <f>SUM(COUNTIF(D25:J25,"A") + COUNTIF(D25:J25,"B")) * WORKERS!D23</f>
        <v>0</v>
      </c>
    </row>
    <row r="26" spans="2:11" ht="21" customHeight="1" x14ac:dyDescent="0.25">
      <c r="B26" s="5">
        <f>WORKERS!B24</f>
        <v>21</v>
      </c>
      <c r="C26" s="8" t="str">
        <f>WORKERS!C24</f>
        <v>PRASHANTH</v>
      </c>
      <c r="D26" s="7"/>
      <c r="E26" s="7"/>
      <c r="F26" s="7"/>
      <c r="G26" s="7"/>
      <c r="H26" s="7"/>
      <c r="I26" s="7"/>
      <c r="J26" s="7"/>
      <c r="K26" s="5">
        <f>SUM(COUNTIF(D26:J26,"A") + COUNTIF(D26:J26,"B")) * WORKERS!D24</f>
        <v>0</v>
      </c>
    </row>
    <row r="27" spans="2:11" ht="21" customHeight="1" x14ac:dyDescent="0.25">
      <c r="B27" s="5">
        <f>WORKERS!B25</f>
        <v>22</v>
      </c>
      <c r="C27" s="8" t="str">
        <f>WORKERS!C25</f>
        <v>KESAV TILI</v>
      </c>
      <c r="D27" s="7"/>
      <c r="E27" s="7"/>
      <c r="F27" s="7"/>
      <c r="G27" s="7"/>
      <c r="H27" s="7"/>
      <c r="I27" s="7"/>
      <c r="J27" s="7"/>
      <c r="K27" s="5">
        <f>SUM(COUNTIF(D27:J27,"A") + COUNTIF(D27:J27,"B")) * WORKERS!D25</f>
        <v>0</v>
      </c>
    </row>
    <row r="28" spans="2:11" ht="21" customHeight="1" x14ac:dyDescent="0.25">
      <c r="B28" s="5">
        <f>WORKERS!B26</f>
        <v>23</v>
      </c>
      <c r="C28" s="8" t="str">
        <f>WORKERS!C26</f>
        <v xml:space="preserve">JAGADISH </v>
      </c>
      <c r="D28" s="7"/>
      <c r="E28" s="7"/>
      <c r="F28" s="7"/>
      <c r="G28" s="7"/>
      <c r="H28" s="7"/>
      <c r="I28" s="7"/>
      <c r="J28" s="7"/>
      <c r="K28" s="5">
        <f>SUM(COUNTIF(D28:J28,"A") + COUNTIF(D28:J28,"B")) * WORKERS!D26</f>
        <v>0</v>
      </c>
    </row>
    <row r="29" spans="2:11" ht="21" customHeight="1" x14ac:dyDescent="0.25">
      <c r="B29" s="5">
        <f>WORKERS!B27</f>
        <v>24</v>
      </c>
      <c r="C29" s="8" t="str">
        <f>WORKERS!C27</f>
        <v>LAXMIDHAR DORA</v>
      </c>
      <c r="D29" s="7"/>
      <c r="E29" s="7"/>
      <c r="F29" s="7"/>
      <c r="G29" s="7"/>
      <c r="H29" s="7"/>
      <c r="I29" s="7"/>
      <c r="J29" s="7"/>
      <c r="K29" s="5">
        <f>SUM(COUNTIF(D29:J29,"A") + COUNTIF(D29:J29,"B")) * WORKERS!D27</f>
        <v>0</v>
      </c>
    </row>
    <row r="30" spans="2:11" ht="21" customHeight="1" x14ac:dyDescent="0.25">
      <c r="B30" s="5">
        <f>WORKERS!B28</f>
        <v>25</v>
      </c>
      <c r="C30" s="8" t="str">
        <f>WORKERS!C28</f>
        <v>ANAND</v>
      </c>
      <c r="D30" s="7"/>
      <c r="E30" s="7"/>
      <c r="F30" s="7"/>
      <c r="G30" s="7"/>
      <c r="H30" s="7"/>
      <c r="I30" s="7"/>
      <c r="J30" s="7"/>
      <c r="K30" s="5">
        <f>SUM(COUNTIF(D30:J30,"A") + COUNTIF(D30:J30,"B")) * WORKERS!D28</f>
        <v>0</v>
      </c>
    </row>
    <row r="31" spans="2:11" ht="21" customHeight="1" x14ac:dyDescent="0.25">
      <c r="B31" s="5">
        <f>WORKERS!B29</f>
        <v>26</v>
      </c>
      <c r="C31" s="8" t="str">
        <f>WORKERS!C29</f>
        <v>TRILOCHAN</v>
      </c>
      <c r="D31" s="7"/>
      <c r="E31" s="7"/>
      <c r="F31" s="7"/>
      <c r="G31" s="7"/>
      <c r="H31" s="7"/>
      <c r="I31" s="7"/>
      <c r="J31" s="7"/>
      <c r="K31" s="5">
        <f>SUM(COUNTIF(D31:J31,"A") + COUNTIF(D31:J31,"B")) * WORKERS!D29</f>
        <v>0</v>
      </c>
    </row>
    <row r="32" spans="2:11" ht="21" customHeight="1" x14ac:dyDescent="0.25">
      <c r="B32" s="5">
        <f>WORKERS!B30</f>
        <v>27</v>
      </c>
      <c r="C32" s="8" t="str">
        <f>WORKERS!C30</f>
        <v>GULUK VRYANG</v>
      </c>
      <c r="D32" s="7"/>
      <c r="E32" s="7"/>
      <c r="F32" s="7"/>
      <c r="G32" s="7"/>
      <c r="H32" s="7"/>
      <c r="I32" s="7"/>
      <c r="J32" s="7"/>
      <c r="K32" s="5">
        <f>SUM(COUNTIF(D32:J32,"A") + COUNTIF(D32:J32,"B")) * WORKERS!D30</f>
        <v>0</v>
      </c>
    </row>
    <row r="33" spans="2:11" ht="21" customHeight="1" x14ac:dyDescent="0.25">
      <c r="B33" s="5">
        <f>WORKERS!B31</f>
        <v>28</v>
      </c>
      <c r="C33" s="8" t="str">
        <f>WORKERS!C31</f>
        <v>BALABHADRA DORA</v>
      </c>
      <c r="D33" s="7"/>
      <c r="E33" s="7"/>
      <c r="F33" s="7"/>
      <c r="G33" s="7"/>
      <c r="H33" s="7"/>
      <c r="I33" s="7"/>
      <c r="J33" s="7"/>
      <c r="K33" s="5">
        <f>SUM(COUNTIF(D33:J33,"A") + COUNTIF(D33:J33,"B")) * WORKERS!D31</f>
        <v>0</v>
      </c>
    </row>
    <row r="34" spans="2:11" ht="21" customHeight="1" x14ac:dyDescent="0.25">
      <c r="B34" s="5">
        <f>WORKERS!B32</f>
        <v>29</v>
      </c>
      <c r="C34" s="8" t="str">
        <f>WORKERS!C32</f>
        <v>RANJITH</v>
      </c>
      <c r="D34" s="7"/>
      <c r="E34" s="7"/>
      <c r="F34" s="7"/>
      <c r="G34" s="7"/>
      <c r="H34" s="7"/>
      <c r="I34" s="7"/>
      <c r="J34" s="7"/>
      <c r="K34" s="5">
        <f>SUM(COUNTIF(D34:J34,"A") + COUNTIF(D34:J34,"B")) * WORKERS!D32</f>
        <v>0</v>
      </c>
    </row>
    <row r="35" spans="2:11" ht="21" customHeight="1" x14ac:dyDescent="0.25">
      <c r="B35" s="5">
        <f>WORKERS!B33</f>
        <v>30</v>
      </c>
      <c r="C35" s="8" t="str">
        <f>WORKERS!C33</f>
        <v>JAGADISH DORA</v>
      </c>
      <c r="D35" s="7"/>
      <c r="E35" s="7"/>
      <c r="F35" s="7"/>
      <c r="G35" s="7"/>
      <c r="H35" s="7"/>
      <c r="I35" s="7"/>
      <c r="J35" s="7"/>
      <c r="K35" s="5">
        <f>SUM(COUNTIF(D35:J35,"A") + COUNTIF(D35:J35,"B")) * WORKERS!D33</f>
        <v>0</v>
      </c>
    </row>
    <row r="36" spans="2:11" ht="21" customHeight="1" x14ac:dyDescent="0.25">
      <c r="B36" s="5">
        <f>WORKERS!B34</f>
        <v>31</v>
      </c>
      <c r="C36" s="8" t="str">
        <f>WORKERS!C34</f>
        <v>MUNNA</v>
      </c>
      <c r="D36" s="7"/>
      <c r="E36" s="7"/>
      <c r="F36" s="7"/>
      <c r="G36" s="7"/>
      <c r="H36" s="7"/>
      <c r="I36" s="7"/>
      <c r="J36" s="7"/>
      <c r="K36" s="5">
        <f>SUM(COUNTIF(D36:J36,"A") + COUNTIF(D36:J36,"B")) * WORKERS!D34</f>
        <v>0</v>
      </c>
    </row>
    <row r="37" spans="2:11" ht="21" customHeight="1" x14ac:dyDescent="0.25">
      <c r="B37" s="5">
        <f>WORKERS!B35</f>
        <v>32</v>
      </c>
      <c r="C37" s="8" t="str">
        <f>WORKERS!C35</f>
        <v>DEVI</v>
      </c>
      <c r="D37" s="7"/>
      <c r="E37" s="7"/>
      <c r="F37" s="7"/>
      <c r="G37" s="7"/>
      <c r="H37" s="7"/>
      <c r="I37" s="7"/>
      <c r="J37" s="7"/>
      <c r="K37" s="5">
        <f>SUM(COUNTIF(D37:J37,"A") + COUNTIF(D37:J37,"B")) * WORKERS!D35</f>
        <v>0</v>
      </c>
    </row>
    <row r="38" spans="2:11" ht="21" customHeight="1" x14ac:dyDescent="0.25">
      <c r="B38" s="5">
        <f>WORKERS!B36</f>
        <v>33</v>
      </c>
      <c r="C38" s="8" t="str">
        <f>WORKERS!C36</f>
        <v>KONDAMMA</v>
      </c>
      <c r="D38" s="7"/>
      <c r="E38" s="7"/>
      <c r="F38" s="7"/>
      <c r="G38" s="7"/>
      <c r="H38" s="7"/>
      <c r="I38" s="7"/>
      <c r="J38" s="7"/>
      <c r="K38" s="5">
        <f>SUM(COUNTIF(D38:J38,"A") + COUNTIF(D38:J38,"B")) * WORKERS!D36</f>
        <v>0</v>
      </c>
    </row>
    <row r="39" spans="2:11" ht="21" customHeight="1" x14ac:dyDescent="0.25">
      <c r="B39" s="5">
        <f>WORKERS!B37</f>
        <v>34</v>
      </c>
      <c r="C39" s="8" t="str">
        <f>WORKERS!C37</f>
        <v>YERNAMMA</v>
      </c>
      <c r="D39" s="7"/>
      <c r="E39" s="7"/>
      <c r="F39" s="7"/>
      <c r="G39" s="7"/>
      <c r="H39" s="7"/>
      <c r="I39" s="7"/>
      <c r="J39" s="7"/>
      <c r="K39" s="5">
        <f>SUM(COUNTIF(D39:J39,"A") + COUNTIF(D39:J39,"B")) * WORKERS!D37</f>
        <v>0</v>
      </c>
    </row>
    <row r="40" spans="2:11" ht="21" customHeight="1" x14ac:dyDescent="0.25">
      <c r="B40" s="5">
        <f>WORKERS!B38</f>
        <v>35</v>
      </c>
      <c r="C40" s="8" t="str">
        <f>WORKERS!C38</f>
        <v>RAJENDRA DORA</v>
      </c>
      <c r="D40" s="7"/>
      <c r="E40" s="7"/>
      <c r="F40" s="7"/>
      <c r="G40" s="7"/>
      <c r="H40" s="7"/>
      <c r="I40" s="7"/>
      <c r="J40" s="7"/>
      <c r="K40" s="5">
        <f>SUM(COUNTIF(D40:J40,"A") + COUNTIF(D40:J40,"B")) * WORKERS!D38</f>
        <v>0</v>
      </c>
    </row>
    <row r="41" spans="2:11" ht="21" hidden="1" customHeight="1" x14ac:dyDescent="0.25">
      <c r="B41" s="5">
        <f>WORKERS!B39</f>
        <v>0</v>
      </c>
      <c r="C41" s="8">
        <f>WORKERS!C39</f>
        <v>0</v>
      </c>
      <c r="D41" s="7"/>
      <c r="E41" s="7"/>
      <c r="F41" s="7"/>
      <c r="G41" s="7"/>
      <c r="H41" s="7"/>
      <c r="I41" s="7"/>
      <c r="J41" s="7"/>
      <c r="K41" s="5">
        <f>SUM(COUNTIF(D41:J41,"A") + COUNTIF(D41:J41,"B")) * WORKERS!D39</f>
        <v>0</v>
      </c>
    </row>
    <row r="42" spans="2:11" ht="21" hidden="1" customHeight="1" x14ac:dyDescent="0.25">
      <c r="B42" s="5">
        <f>WORKERS!B40</f>
        <v>0</v>
      </c>
      <c r="C42" s="8">
        <f>WORKERS!C40</f>
        <v>0</v>
      </c>
      <c r="D42" s="7"/>
      <c r="E42" s="7"/>
      <c r="F42" s="7"/>
      <c r="G42" s="7"/>
      <c r="H42" s="7"/>
      <c r="I42" s="7"/>
      <c r="J42" s="7"/>
      <c r="K42" s="5">
        <f>SUM(COUNTIF(D42:J42,"A") + COUNTIF(D42:J42,"B")) * WORKERS!D40</f>
        <v>0</v>
      </c>
    </row>
    <row r="43" spans="2:11" ht="21" hidden="1" customHeight="1" x14ac:dyDescent="0.25">
      <c r="B43" s="5">
        <f>WORKERS!B41</f>
        <v>0</v>
      </c>
      <c r="C43" s="8">
        <f>WORKERS!C41</f>
        <v>0</v>
      </c>
      <c r="D43" s="7"/>
      <c r="E43" s="7"/>
      <c r="F43" s="7"/>
      <c r="G43" s="7"/>
      <c r="H43" s="7"/>
      <c r="I43" s="7"/>
      <c r="J43" s="7"/>
      <c r="K43" s="5">
        <f>SUM(COUNTIF(D43:J43,"A") + COUNTIF(D43:J43,"B")) * WORKERS!D41</f>
        <v>0</v>
      </c>
    </row>
    <row r="44" spans="2:11" ht="21" hidden="1" customHeight="1" x14ac:dyDescent="0.25">
      <c r="B44" s="5">
        <f>WORKERS!B42</f>
        <v>0</v>
      </c>
      <c r="C44" s="8">
        <f>WORKERS!C42</f>
        <v>0</v>
      </c>
      <c r="D44" s="7"/>
      <c r="E44" s="7"/>
      <c r="F44" s="7"/>
      <c r="G44" s="7"/>
      <c r="H44" s="7"/>
      <c r="I44" s="7"/>
      <c r="J44" s="7"/>
      <c r="K44" s="5">
        <f>SUM(COUNTIF(D44:J44,"A") + COUNTIF(D44:J44,"B")) * WORKERS!D42</f>
        <v>0</v>
      </c>
    </row>
    <row r="45" spans="2:11" ht="21" hidden="1" customHeight="1" x14ac:dyDescent="0.25">
      <c r="B45" s="5">
        <f>WORKERS!B43</f>
        <v>0</v>
      </c>
      <c r="C45" s="8">
        <f>WORKERS!C43</f>
        <v>0</v>
      </c>
      <c r="D45" s="7"/>
      <c r="E45" s="7"/>
      <c r="F45" s="7"/>
      <c r="G45" s="7"/>
      <c r="H45" s="7"/>
      <c r="I45" s="7"/>
      <c r="J45" s="7"/>
      <c r="K45" s="5">
        <f>SUM(COUNTIF(D45:J45,"A") + COUNTIF(D45:J45,"B")) * WORKERS!D43</f>
        <v>0</v>
      </c>
    </row>
    <row r="46" spans="2:11" ht="21" hidden="1" customHeight="1" x14ac:dyDescent="0.25">
      <c r="B46" s="5">
        <f>WORKERS!B44</f>
        <v>0</v>
      </c>
      <c r="C46" s="8">
        <f>WORKERS!C44</f>
        <v>0</v>
      </c>
      <c r="D46" s="7"/>
      <c r="E46" s="7"/>
      <c r="F46" s="7"/>
      <c r="G46" s="7"/>
      <c r="H46" s="7"/>
      <c r="I46" s="7"/>
      <c r="J46" s="7"/>
      <c r="K46" s="5">
        <f>SUM(COUNTIF(D46:J46,"A") + COUNTIF(D46:J46,"B")) * WORKERS!D44</f>
        <v>0</v>
      </c>
    </row>
    <row r="47" spans="2:11" ht="21" hidden="1" customHeight="1" x14ac:dyDescent="0.25">
      <c r="B47" s="5">
        <f>WORKERS!B45</f>
        <v>0</v>
      </c>
      <c r="C47" s="8">
        <f>WORKERS!C45</f>
        <v>0</v>
      </c>
      <c r="D47" s="7"/>
      <c r="E47" s="7"/>
      <c r="F47" s="7"/>
      <c r="G47" s="7"/>
      <c r="H47" s="7"/>
      <c r="I47" s="7"/>
      <c r="J47" s="7"/>
      <c r="K47" s="5">
        <f>SUM(COUNTIF(D47:J47,"A") + COUNTIF(D47:J47,"B")) * WORKERS!D45</f>
        <v>0</v>
      </c>
    </row>
    <row r="48" spans="2:11" ht="21" hidden="1" customHeight="1" x14ac:dyDescent="0.25">
      <c r="B48" s="5">
        <f>WORKERS!B46</f>
        <v>0</v>
      </c>
      <c r="C48" s="8">
        <f>WORKERS!C46</f>
        <v>0</v>
      </c>
      <c r="D48" s="7"/>
      <c r="E48" s="7"/>
      <c r="F48" s="7"/>
      <c r="G48" s="7"/>
      <c r="H48" s="7"/>
      <c r="I48" s="7"/>
      <c r="J48" s="7"/>
      <c r="K48" s="5">
        <f>SUM(COUNTIF(D48:J48,"A") + COUNTIF(D48:J48,"B")) * WORKERS!D46</f>
        <v>0</v>
      </c>
    </row>
    <row r="49" spans="2:11" ht="21" hidden="1" customHeight="1" x14ac:dyDescent="0.25">
      <c r="B49" s="5">
        <f>WORKERS!B47</f>
        <v>0</v>
      </c>
      <c r="C49" s="8">
        <f>WORKERS!C47</f>
        <v>0</v>
      </c>
      <c r="D49" s="7"/>
      <c r="E49" s="7"/>
      <c r="F49" s="7"/>
      <c r="G49" s="7"/>
      <c r="H49" s="7"/>
      <c r="I49" s="7"/>
      <c r="J49" s="7"/>
      <c r="K49" s="5">
        <f>SUM(COUNTIF(D49:J49,"A") + COUNTIF(D49:J49,"B")) * WORKERS!D47</f>
        <v>0</v>
      </c>
    </row>
    <row r="50" spans="2:11" ht="21" hidden="1" customHeight="1" x14ac:dyDescent="0.25">
      <c r="B50" s="5">
        <f>WORKERS!B48</f>
        <v>0</v>
      </c>
      <c r="C50" s="8">
        <f>WORKERS!C48</f>
        <v>0</v>
      </c>
      <c r="D50" s="7"/>
      <c r="E50" s="7"/>
      <c r="F50" s="7"/>
      <c r="G50" s="7"/>
      <c r="H50" s="7"/>
      <c r="I50" s="7"/>
      <c r="J50" s="7"/>
      <c r="K50" s="5">
        <f>SUM(COUNTIF(D50:J50,"A") + COUNTIF(D50:J50,"B")) * WORKERS!D48</f>
        <v>0</v>
      </c>
    </row>
    <row r="51" spans="2:11" ht="21" hidden="1" customHeight="1" x14ac:dyDescent="0.25">
      <c r="B51" s="5">
        <f>WORKERS!B49</f>
        <v>0</v>
      </c>
      <c r="C51" s="8">
        <f>WORKERS!C49</f>
        <v>0</v>
      </c>
      <c r="D51" s="7"/>
      <c r="E51" s="7"/>
      <c r="F51" s="7"/>
      <c r="G51" s="7"/>
      <c r="H51" s="7"/>
      <c r="I51" s="7"/>
      <c r="J51" s="7"/>
      <c r="K51" s="5">
        <f>SUM(COUNTIF(D51:J51,"A") + COUNTIF(D51:J51,"B")) * WORKERS!D49</f>
        <v>0</v>
      </c>
    </row>
    <row r="52" spans="2:11" ht="21" hidden="1" customHeight="1" x14ac:dyDescent="0.25">
      <c r="B52" s="5">
        <f>WORKERS!B50</f>
        <v>0</v>
      </c>
      <c r="C52" s="8">
        <f>WORKERS!C50</f>
        <v>0</v>
      </c>
      <c r="D52" s="7"/>
      <c r="E52" s="7"/>
      <c r="F52" s="7"/>
      <c r="G52" s="7"/>
      <c r="H52" s="7"/>
      <c r="I52" s="7"/>
      <c r="J52" s="7"/>
      <c r="K52" s="5">
        <f>SUM(COUNTIF(D52:J52,"A") + COUNTIF(D52:J52,"B")) * WORKERS!D50</f>
        <v>0</v>
      </c>
    </row>
    <row r="53" spans="2:11" ht="21" hidden="1" customHeight="1" x14ac:dyDescent="0.25">
      <c r="B53" s="5">
        <f>WORKERS!B51</f>
        <v>0</v>
      </c>
      <c r="C53" s="8">
        <f>WORKERS!C51</f>
        <v>0</v>
      </c>
      <c r="D53" s="7"/>
      <c r="E53" s="7"/>
      <c r="F53" s="7"/>
      <c r="G53" s="7"/>
      <c r="H53" s="7"/>
      <c r="I53" s="7"/>
      <c r="J53" s="7"/>
      <c r="K53" s="5">
        <f>SUM(COUNTIF(D53:J53,"A") + COUNTIF(D53:J53,"B")) * WORKERS!D51</f>
        <v>0</v>
      </c>
    </row>
    <row r="54" spans="2:11" ht="21" hidden="1" customHeight="1" x14ac:dyDescent="0.25">
      <c r="B54" s="5">
        <f>WORKERS!B52</f>
        <v>0</v>
      </c>
      <c r="C54" s="8">
        <f>WORKERS!C52</f>
        <v>0</v>
      </c>
      <c r="D54" s="7"/>
      <c r="E54" s="7"/>
      <c r="F54" s="7"/>
      <c r="G54" s="7"/>
      <c r="H54" s="7"/>
      <c r="I54" s="7"/>
      <c r="J54" s="7"/>
      <c r="K54" s="5">
        <f>SUM(COUNTIF(D54:J54,"A") + COUNTIF(D54:J54,"B")) * WORKERS!D52</f>
        <v>0</v>
      </c>
    </row>
    <row r="55" spans="2:11" ht="21" hidden="1" customHeight="1" x14ac:dyDescent="0.25">
      <c r="B55" s="5">
        <f>WORKERS!B53</f>
        <v>0</v>
      </c>
      <c r="C55" s="8">
        <f>WORKERS!C53</f>
        <v>0</v>
      </c>
      <c r="D55" s="7"/>
      <c r="E55" s="7"/>
      <c r="F55" s="7"/>
      <c r="G55" s="7"/>
      <c r="H55" s="7"/>
      <c r="I55" s="7"/>
      <c r="J55" s="7"/>
      <c r="K55" s="5">
        <f>SUM(COUNTIF(D55:J55,"A") + COUNTIF(D55:J55,"B")) * WORKERS!D53</f>
        <v>0</v>
      </c>
    </row>
    <row r="56" spans="2:11" ht="21" hidden="1" customHeight="1" x14ac:dyDescent="0.25">
      <c r="B56" s="5">
        <f>WORKERS!B54</f>
        <v>0</v>
      </c>
      <c r="C56" s="8">
        <f>WORKERS!C54</f>
        <v>0</v>
      </c>
      <c r="D56" s="7"/>
      <c r="E56" s="7"/>
      <c r="F56" s="7"/>
      <c r="G56" s="7"/>
      <c r="H56" s="7"/>
      <c r="I56" s="7"/>
      <c r="J56" s="7"/>
      <c r="K56" s="5">
        <f>SUM(COUNTIF(D56:J56,"A") + COUNTIF(D56:J56,"B")) * WORKERS!D54</f>
        <v>0</v>
      </c>
    </row>
    <row r="57" spans="2:11" ht="21" hidden="1" customHeight="1" x14ac:dyDescent="0.25">
      <c r="B57" s="5">
        <f>WORKERS!B55</f>
        <v>0</v>
      </c>
      <c r="C57" s="8">
        <f>WORKERS!C55</f>
        <v>0</v>
      </c>
      <c r="D57" s="7"/>
      <c r="E57" s="7"/>
      <c r="F57" s="7"/>
      <c r="G57" s="7"/>
      <c r="H57" s="7"/>
      <c r="I57" s="7"/>
      <c r="J57" s="7"/>
      <c r="K57" s="5">
        <f>SUM(COUNTIF(D57:J57,"A") + COUNTIF(D57:J57,"B")) * WORKERS!D55</f>
        <v>0</v>
      </c>
    </row>
    <row r="58" spans="2:11" ht="21" hidden="1" customHeight="1" x14ac:dyDescent="0.25">
      <c r="B58" s="5">
        <f>WORKERS!B56</f>
        <v>0</v>
      </c>
      <c r="C58" s="8">
        <f>WORKERS!C56</f>
        <v>0</v>
      </c>
      <c r="D58" s="7"/>
      <c r="E58" s="7"/>
      <c r="F58" s="7"/>
      <c r="G58" s="7"/>
      <c r="H58" s="7"/>
      <c r="I58" s="7"/>
      <c r="J58" s="7"/>
      <c r="K58" s="5">
        <f>SUM(COUNTIF(D58:J58,"A") + COUNTIF(D58:J58,"B")) * WORKERS!D56</f>
        <v>0</v>
      </c>
    </row>
    <row r="59" spans="2:11" ht="21" hidden="1" customHeight="1" x14ac:dyDescent="0.25">
      <c r="B59" s="5">
        <f>WORKERS!B57</f>
        <v>0</v>
      </c>
      <c r="C59" s="8">
        <f>WORKERS!C57</f>
        <v>0</v>
      </c>
      <c r="D59" s="7"/>
      <c r="E59" s="7"/>
      <c r="F59" s="7"/>
      <c r="G59" s="7"/>
      <c r="H59" s="7"/>
      <c r="I59" s="7"/>
      <c r="J59" s="7"/>
      <c r="K59" s="5">
        <f>SUM(COUNTIF(D59:J59,"A") + COUNTIF(D59:J59,"B")) * WORKERS!D57</f>
        <v>0</v>
      </c>
    </row>
    <row r="60" spans="2:11" ht="21" hidden="1" customHeight="1" x14ac:dyDescent="0.25">
      <c r="B60" s="5">
        <f>WORKERS!B58</f>
        <v>0</v>
      </c>
      <c r="C60" s="8">
        <f>WORKERS!C58</f>
        <v>0</v>
      </c>
      <c r="D60" s="7"/>
      <c r="E60" s="7"/>
      <c r="F60" s="7"/>
      <c r="G60" s="7"/>
      <c r="H60" s="7"/>
      <c r="I60" s="7"/>
      <c r="J60" s="7"/>
      <c r="K60" s="5">
        <f>SUM(COUNTIF(D60:J60,"A") + COUNTIF(D60:J60,"B")) * WORKERS!D58</f>
        <v>0</v>
      </c>
    </row>
    <row r="61" spans="2:11" ht="21" hidden="1" customHeight="1" x14ac:dyDescent="0.25">
      <c r="B61" s="5">
        <f>WORKERS!B59</f>
        <v>0</v>
      </c>
      <c r="C61" s="8">
        <f>WORKERS!C59</f>
        <v>0</v>
      </c>
      <c r="D61" s="7"/>
      <c r="E61" s="7"/>
      <c r="F61" s="7"/>
      <c r="G61" s="7"/>
      <c r="H61" s="7"/>
      <c r="I61" s="7"/>
      <c r="J61" s="7"/>
      <c r="K61" s="5">
        <f>SUM(COUNTIF(D61:J61,"A") + COUNTIF(D61:J61,"B")) * WORKERS!D59</f>
        <v>0</v>
      </c>
    </row>
    <row r="62" spans="2:11" ht="21" hidden="1" customHeight="1" x14ac:dyDescent="0.25">
      <c r="B62" s="5">
        <f>WORKERS!B60</f>
        <v>0</v>
      </c>
      <c r="C62" s="8">
        <f>WORKERS!C60</f>
        <v>0</v>
      </c>
      <c r="D62" s="7"/>
      <c r="E62" s="7"/>
      <c r="F62" s="7"/>
      <c r="G62" s="7"/>
      <c r="H62" s="7"/>
      <c r="I62" s="7"/>
      <c r="J62" s="7"/>
      <c r="K62" s="5">
        <f>SUM(COUNTIF(D62:J62,"A") + COUNTIF(D62:J62,"B")) * WORKERS!D60</f>
        <v>0</v>
      </c>
    </row>
    <row r="63" spans="2:11" ht="21" hidden="1" customHeight="1" x14ac:dyDescent="0.25">
      <c r="B63" s="5">
        <f>WORKERS!B61</f>
        <v>0</v>
      </c>
      <c r="C63" s="8">
        <f>WORKERS!C61</f>
        <v>0</v>
      </c>
      <c r="D63" s="7"/>
      <c r="E63" s="7"/>
      <c r="F63" s="7"/>
      <c r="G63" s="7"/>
      <c r="H63" s="7"/>
      <c r="I63" s="7"/>
      <c r="J63" s="7"/>
      <c r="K63" s="5">
        <f>SUM(COUNTIF(D63:J63,"A") + COUNTIF(D63:J63,"B")) * WORKERS!D61</f>
        <v>0</v>
      </c>
    </row>
    <row r="64" spans="2:11" ht="21" hidden="1" customHeight="1" x14ac:dyDescent="0.25">
      <c r="B64" s="5">
        <f>WORKERS!B62</f>
        <v>0</v>
      </c>
      <c r="C64" s="8">
        <f>WORKERS!C62</f>
        <v>0</v>
      </c>
      <c r="D64" s="7"/>
      <c r="E64" s="7"/>
      <c r="F64" s="7"/>
      <c r="G64" s="7"/>
      <c r="H64" s="7"/>
      <c r="I64" s="7"/>
      <c r="J64" s="7"/>
      <c r="K64" s="5">
        <f>SUM(COUNTIF(D64:J64,"A") + COUNTIF(D64:J64,"B")) * WORKERS!D62</f>
        <v>0</v>
      </c>
    </row>
    <row r="65" spans="2:11" ht="21" hidden="1" customHeight="1" x14ac:dyDescent="0.25">
      <c r="B65" s="5">
        <f>WORKERS!B63</f>
        <v>0</v>
      </c>
      <c r="C65" s="8">
        <f>WORKERS!C63</f>
        <v>0</v>
      </c>
      <c r="D65" s="7"/>
      <c r="E65" s="7"/>
      <c r="F65" s="7"/>
      <c r="G65" s="7"/>
      <c r="H65" s="7"/>
      <c r="I65" s="7"/>
      <c r="J65" s="7"/>
      <c r="K65" s="5">
        <f>SUM(COUNTIF(D65:J65,"A") + COUNTIF(D65:J65,"B")) * WORKERS!D63</f>
        <v>0</v>
      </c>
    </row>
    <row r="66" spans="2:11" ht="21" hidden="1" customHeight="1" x14ac:dyDescent="0.25">
      <c r="B66" s="5">
        <f>WORKERS!B64</f>
        <v>0</v>
      </c>
      <c r="C66" s="8">
        <f>WORKERS!C64</f>
        <v>0</v>
      </c>
      <c r="D66" s="7"/>
      <c r="E66" s="7"/>
      <c r="F66" s="7"/>
      <c r="G66" s="7"/>
      <c r="H66" s="7"/>
      <c r="I66" s="7"/>
      <c r="J66" s="7"/>
      <c r="K66" s="5">
        <f>SUM(COUNTIF(D66:J66,"A") + COUNTIF(D66:J66,"B")) * WORKERS!D64</f>
        <v>0</v>
      </c>
    </row>
    <row r="67" spans="2:11" ht="21" hidden="1" customHeight="1" x14ac:dyDescent="0.25">
      <c r="B67" s="5">
        <f>WORKERS!B65</f>
        <v>0</v>
      </c>
      <c r="C67" s="8">
        <f>WORKERS!C65</f>
        <v>0</v>
      </c>
      <c r="D67" s="7"/>
      <c r="E67" s="7"/>
      <c r="F67" s="7"/>
      <c r="G67" s="7"/>
      <c r="H67" s="7"/>
      <c r="I67" s="7"/>
      <c r="J67" s="7"/>
      <c r="K67" s="5">
        <f>SUM(COUNTIF(D67:J67,"A") + COUNTIF(D67:J67,"B")) * WORKERS!D65</f>
        <v>0</v>
      </c>
    </row>
    <row r="68" spans="2:11" ht="21" hidden="1" customHeight="1" x14ac:dyDescent="0.25">
      <c r="B68" s="5">
        <f>WORKERS!B66</f>
        <v>0</v>
      </c>
      <c r="C68" s="8">
        <f>WORKERS!C66</f>
        <v>0</v>
      </c>
      <c r="D68" s="7"/>
      <c r="E68" s="7"/>
      <c r="F68" s="7"/>
      <c r="G68" s="7"/>
      <c r="H68" s="7"/>
      <c r="I68" s="7"/>
      <c r="J68" s="7"/>
      <c r="K68" s="5">
        <f>SUM(COUNTIF(D68:J68,"A") + COUNTIF(D68:J68,"B")) * WORKERS!D66</f>
        <v>0</v>
      </c>
    </row>
    <row r="69" spans="2:11" ht="21" hidden="1" customHeight="1" x14ac:dyDescent="0.25">
      <c r="B69" s="5">
        <f>WORKERS!B67</f>
        <v>0</v>
      </c>
      <c r="C69" s="8">
        <f>WORKERS!C67</f>
        <v>0</v>
      </c>
      <c r="D69" s="7"/>
      <c r="E69" s="7"/>
      <c r="F69" s="7"/>
      <c r="G69" s="7"/>
      <c r="H69" s="7"/>
      <c r="I69" s="7"/>
      <c r="J69" s="7"/>
      <c r="K69" s="5">
        <f>SUM(COUNTIF(D69:J69,"A") + COUNTIF(D69:J69,"B")) * WORKERS!D67</f>
        <v>0</v>
      </c>
    </row>
    <row r="70" spans="2:11" ht="21" hidden="1" customHeight="1" x14ac:dyDescent="0.25">
      <c r="B70" s="5">
        <f>WORKERS!B68</f>
        <v>0</v>
      </c>
      <c r="C70" s="8">
        <f>WORKERS!C68</f>
        <v>0</v>
      </c>
      <c r="D70" s="7"/>
      <c r="E70" s="7"/>
      <c r="F70" s="7"/>
      <c r="G70" s="7"/>
      <c r="H70" s="7"/>
      <c r="I70" s="7"/>
      <c r="J70" s="7"/>
      <c r="K70" s="5">
        <f>SUM(COUNTIF(D70:J70,"A") + COUNTIF(D70:J70,"B")) * WORKERS!D68</f>
        <v>0</v>
      </c>
    </row>
    <row r="71" spans="2:11" ht="21" hidden="1" customHeight="1" x14ac:dyDescent="0.25">
      <c r="B71" s="5">
        <f>WORKERS!B69</f>
        <v>0</v>
      </c>
      <c r="C71" s="8">
        <f>WORKERS!C69</f>
        <v>0</v>
      </c>
      <c r="D71" s="7"/>
      <c r="E71" s="7"/>
      <c r="F71" s="7"/>
      <c r="G71" s="7"/>
      <c r="H71" s="7"/>
      <c r="I71" s="7"/>
      <c r="J71" s="7"/>
      <c r="K71" s="5">
        <f>SUM(COUNTIF(D71:J71,"A") + COUNTIF(D71:J71,"B")) * WORKERS!D69</f>
        <v>0</v>
      </c>
    </row>
    <row r="72" spans="2:11" ht="21" hidden="1" customHeight="1" x14ac:dyDescent="0.25">
      <c r="B72" s="5">
        <f>WORKERS!B70</f>
        <v>0</v>
      </c>
      <c r="C72" s="8">
        <f>WORKERS!C70</f>
        <v>0</v>
      </c>
      <c r="D72" s="7"/>
      <c r="E72" s="7"/>
      <c r="F72" s="7"/>
      <c r="G72" s="7"/>
      <c r="H72" s="7"/>
      <c r="I72" s="7"/>
      <c r="J72" s="7"/>
      <c r="K72" s="5">
        <f>SUM(COUNTIF(D72:J72,"A") + COUNTIF(D72:J72,"B")) * WORKERS!D70</f>
        <v>0</v>
      </c>
    </row>
    <row r="73" spans="2:11" ht="21" hidden="1" customHeight="1" x14ac:dyDescent="0.25">
      <c r="B73" s="5"/>
      <c r="C73" s="8">
        <f>WORKERS!C71</f>
        <v>0</v>
      </c>
      <c r="D73" s="7"/>
      <c r="E73" s="7"/>
      <c r="F73" s="7"/>
      <c r="G73" s="7"/>
      <c r="H73" s="7"/>
      <c r="I73" s="7"/>
      <c r="J73" s="7"/>
      <c r="K73" s="5">
        <f>SUM(COUNTIF(D73:J73,"A") + COUNTIF(D73:J73,"B")) * WORKERS!D71</f>
        <v>0</v>
      </c>
    </row>
    <row r="74" spans="2:11" ht="27.75" customHeight="1" x14ac:dyDescent="0.25">
      <c r="B74" s="39" t="s">
        <v>59</v>
      </c>
      <c r="C74" s="40"/>
      <c r="D74" s="6">
        <f>COUNTIF(D6:D73, "A") + COUNTIF(D6:D73, "B")</f>
        <v>0</v>
      </c>
      <c r="E74" s="6">
        <f t="shared" ref="E74:J74" si="0">COUNTIF(E6:E73, "A") + COUNTIF(E6:E73, "B")</f>
        <v>0</v>
      </c>
      <c r="F74" s="6">
        <f t="shared" si="0"/>
        <v>0</v>
      </c>
      <c r="G74" s="6">
        <f t="shared" si="0"/>
        <v>0</v>
      </c>
      <c r="H74" s="6">
        <f t="shared" si="0"/>
        <v>0</v>
      </c>
      <c r="I74" s="6">
        <f t="shared" si="0"/>
        <v>0</v>
      </c>
      <c r="J74" s="6">
        <f t="shared" si="0"/>
        <v>0</v>
      </c>
      <c r="K74" s="41">
        <f>SUM(K6:K73)</f>
        <v>0</v>
      </c>
    </row>
    <row r="75" spans="2:11" x14ac:dyDescent="0.25">
      <c r="C75" s="9"/>
    </row>
  </sheetData>
  <mergeCells count="6">
    <mergeCell ref="B74:C74"/>
    <mergeCell ref="B2:J3"/>
    <mergeCell ref="B4:B5"/>
    <mergeCell ref="C4:C5"/>
    <mergeCell ref="D4:J4"/>
    <mergeCell ref="K4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CA13-2967-4747-9D86-0F3ACF6AFFBB}">
  <dimension ref="A1:L13"/>
  <sheetViews>
    <sheetView tabSelected="1" workbookViewId="0">
      <selection activeCell="M8" sqref="M8"/>
    </sheetView>
  </sheetViews>
  <sheetFormatPr defaultRowHeight="15" x14ac:dyDescent="0.25"/>
  <cols>
    <col min="2" max="2" width="23" customWidth="1"/>
    <col min="3" max="9" width="13.140625" customWidth="1"/>
    <col min="10" max="10" width="18" bestFit="1" customWidth="1"/>
    <col min="11" max="11" width="17.85546875" customWidth="1"/>
  </cols>
  <sheetData>
    <row r="1" spans="1:12" ht="15.75" thickBot="1" x14ac:dyDescent="0.3"/>
    <row r="2" spans="1:12" ht="24.75" customHeight="1" thickBot="1" x14ac:dyDescent="0.3">
      <c r="B2" s="33" t="s">
        <v>53</v>
      </c>
      <c r="C2" s="30" t="s">
        <v>54</v>
      </c>
      <c r="D2" s="31"/>
      <c r="E2" s="31"/>
      <c r="F2" s="31"/>
      <c r="G2" s="31"/>
      <c r="H2" s="31"/>
      <c r="I2" s="32"/>
      <c r="J2" s="35" t="s">
        <v>52</v>
      </c>
      <c r="K2" s="37" t="s">
        <v>48</v>
      </c>
    </row>
    <row r="3" spans="1:12" ht="24.75" customHeight="1" thickBot="1" x14ac:dyDescent="0.3">
      <c r="B3" s="34"/>
      <c r="C3" s="63" t="s">
        <v>40</v>
      </c>
      <c r="D3" s="63" t="s">
        <v>41</v>
      </c>
      <c r="E3" s="64" t="s">
        <v>42</v>
      </c>
      <c r="F3" s="63" t="s">
        <v>43</v>
      </c>
      <c r="G3" s="64" t="s">
        <v>44</v>
      </c>
      <c r="H3" s="63" t="s">
        <v>45</v>
      </c>
      <c r="I3" s="64" t="s">
        <v>46</v>
      </c>
      <c r="J3" s="36"/>
      <c r="K3" s="38"/>
    </row>
    <row r="4" spans="1:12" ht="24.75" customHeight="1" x14ac:dyDescent="0.25">
      <c r="B4" s="73" t="s">
        <v>51</v>
      </c>
      <c r="C4" s="14">
        <f>SUM(COUNTIF('SAW MILL'!D6:D73,"A") + COUNTIF('SAW MILL'!D6:D73,"B"))</f>
        <v>0</v>
      </c>
      <c r="D4" s="14">
        <f>SUM(COUNTIF('SAW MILL'!E6:E73,"A") + COUNTIF('SAW MILL'!E6:E73,"B"))</f>
        <v>4</v>
      </c>
      <c r="E4" s="17">
        <f>SUM(COUNTIF('SAW MILL'!F6:F73,"A") + COUNTIF('SAW MILL'!F6:F73,"B"))</f>
        <v>2</v>
      </c>
      <c r="F4" s="14">
        <f>SUM(COUNTIF('SAW MILL'!G6:G73,"A") + COUNTIF('SAW MILL'!G6:G73,"B"))</f>
        <v>0</v>
      </c>
      <c r="G4" s="17">
        <f>SUM(COUNTIF('SAW MILL'!H6:H73,"A") + COUNTIF('SAW MILL'!H6:H73,"B"))</f>
        <v>0</v>
      </c>
      <c r="H4" s="14">
        <f>SUM(COUNTIF('SAW MILL'!I6:I73,"A") + COUNTIF('SAW MILL'!I6:I73,"B"))</f>
        <v>0</v>
      </c>
      <c r="I4" s="17">
        <f>SUM(COUNTIF('SAW MILL'!J6:J73,"A") + COUNTIF('SAW MILL'!J6:J73,"B"))</f>
        <v>0</v>
      </c>
      <c r="J4" s="14">
        <f>SUM(C4:I4)</f>
        <v>6</v>
      </c>
      <c r="K4" s="11">
        <f>'SAW MILL'!K74</f>
        <v>4466.68</v>
      </c>
    </row>
    <row r="5" spans="1:12" ht="24.75" customHeight="1" x14ac:dyDescent="0.25">
      <c r="B5" s="74" t="s">
        <v>20</v>
      </c>
      <c r="C5" s="15">
        <f>SUM(COUNTIF('SAW DUST MACHINE'!D6:D73,"A") + COUNTIF('SAW DUST MACHINE'!D6:D73,"B"))</f>
        <v>0</v>
      </c>
      <c r="D5" s="15">
        <f>SUM(COUNTIF('SAW DUST MACHINE'!E6:E73,"A") + COUNTIF('SAW DUST MACHINE'!E6:E73,"B"))</f>
        <v>0</v>
      </c>
      <c r="E5" s="18">
        <f>SUM(COUNTIF('SAW DUST MACHINE'!F6:F73,"A") + COUNTIF('SAW DUST MACHINE'!F6:F73,"B"))</f>
        <v>0</v>
      </c>
      <c r="F5" s="15">
        <f>SUM(COUNTIF('SAW DUST MACHINE'!G6:G73,"A") + COUNTIF('SAW DUST MACHINE'!G6:G73,"B"))</f>
        <v>0</v>
      </c>
      <c r="G5" s="18">
        <f>SUM(COUNTIF('SAW DUST MACHINE'!H6:H73,"A") + COUNTIF('SAW DUST MACHINE'!H6:H73,"B"))</f>
        <v>0</v>
      </c>
      <c r="H5" s="15">
        <f>SUM(COUNTIF('SAW DUST MACHINE'!I6:I73,"A") + COUNTIF('SAW DUST MACHINE'!I6:I73,"B"))</f>
        <v>0</v>
      </c>
      <c r="I5" s="18">
        <f>SUM(COUNTIF('SAW DUST MACHINE'!J6:J73,"A") + COUNTIF('SAW DUST MACHINE'!J6:J73,"B"))</f>
        <v>0</v>
      </c>
      <c r="J5" s="15">
        <f t="shared" ref="J5:J8" si="0">SUM(C5:I5)</f>
        <v>0</v>
      </c>
      <c r="K5" s="12">
        <f>'SAW DUST MACHINE'!K74</f>
        <v>0</v>
      </c>
    </row>
    <row r="6" spans="1:12" ht="24.75" customHeight="1" x14ac:dyDescent="0.25">
      <c r="B6" s="74" t="s">
        <v>24</v>
      </c>
      <c r="C6" s="15">
        <f>SUM(COUNTIF(BRIQUETTE!D6:D73,"A") + COUNTIF(BRIQUETTE!D6:D73,"B"))</f>
        <v>0</v>
      </c>
      <c r="D6" s="15">
        <f>SUM(COUNTIF(BRIQUETTE!E6:E73,"A") + COUNTIF(BRIQUETTE!E6:E73,"B"))</f>
        <v>5</v>
      </c>
      <c r="E6" s="18">
        <f>SUM(COUNTIF(BRIQUETTE!F6:F73,"A") + COUNTIF(BRIQUETTE!F6:F73,"B"))</f>
        <v>0</v>
      </c>
      <c r="F6" s="15">
        <f>SUM(COUNTIF(BRIQUETTE!G6:G73,"A") + COUNTIF(BRIQUETTE!G6:G73,"B"))</f>
        <v>0</v>
      </c>
      <c r="G6" s="18">
        <f>SUM(COUNTIF(BRIQUETTE!H6:H73,"A") + COUNTIF(BRIQUETTE!H6:H73,"B"))</f>
        <v>0</v>
      </c>
      <c r="H6" s="15">
        <f>SUM(COUNTIF(BRIQUETTE!I6:I73,"A") + COUNTIF(BRIQUETTE!I6:I73,"B"))</f>
        <v>0</v>
      </c>
      <c r="I6" s="18">
        <f>SUM(COUNTIF(BRIQUETTE!J6:J73,"A") + COUNTIF(BRIQUETTE!J6:J73,"B"))</f>
        <v>0</v>
      </c>
      <c r="J6" s="15">
        <f t="shared" si="0"/>
        <v>5</v>
      </c>
      <c r="K6" s="12">
        <f>BRIQUETTE!K74</f>
        <v>3766.6800000000003</v>
      </c>
    </row>
    <row r="7" spans="1:12" ht="24.75" customHeight="1" x14ac:dyDescent="0.25">
      <c r="B7" s="74" t="s">
        <v>16</v>
      </c>
      <c r="C7" s="15">
        <f>SUM(COUNTIF(DRIER!D6:D73,"A") + COUNTIF(DRIER!D6:D73,"B"))</f>
        <v>0</v>
      </c>
      <c r="D7" s="15">
        <f>SUM(COUNTIF(DRIER!E6:E73,"A") + COUNTIF(DRIER!E6:E73,"B"))</f>
        <v>0</v>
      </c>
      <c r="E7" s="18">
        <f>SUM(COUNTIF(DRIER!F6:F73,"A") + COUNTIF(DRIER!F6:F73,"B"))</f>
        <v>0</v>
      </c>
      <c r="F7" s="15">
        <f>SUM(COUNTIF(DRIER!G6:G73,"A") + COUNTIF(DRIER!G6:G73,"B"))</f>
        <v>0</v>
      </c>
      <c r="G7" s="18">
        <f>SUM(COUNTIF(DRIER!H6:H73,"A") + COUNTIF(DRIER!H6:H73,"B"))</f>
        <v>0</v>
      </c>
      <c r="H7" s="15">
        <f>SUM(COUNTIF(DRIER!I6:I73,"A") + COUNTIF(DRIER!I6:I73,"B"))</f>
        <v>0</v>
      </c>
      <c r="I7" s="18">
        <f>SUM(COUNTIF(DRIER!J6:J73,"A") + COUNTIF(DRIER!J6:J73,"B"))</f>
        <v>0</v>
      </c>
      <c r="J7" s="15">
        <f t="shared" si="0"/>
        <v>0</v>
      </c>
      <c r="K7" s="12">
        <f>DRIER!K74</f>
        <v>0</v>
      </c>
    </row>
    <row r="8" spans="1:12" ht="24.75" customHeight="1" thickBot="1" x14ac:dyDescent="0.3">
      <c r="B8" s="75" t="s">
        <v>62</v>
      </c>
      <c r="C8" s="16">
        <f>SUM(COUNTIF('LOADING LABOUR'!D6:D73,"A") + COUNTIF('LOADING LABOUR'!D6:D73,"B"))</f>
        <v>0</v>
      </c>
      <c r="D8" s="16">
        <f>SUM(COUNTIF('LOADING LABOUR'!E6:E73,"A") + COUNTIF('LOADING LABOUR'!E6:E73,"B"))</f>
        <v>0</v>
      </c>
      <c r="E8" s="19">
        <f>SUM(COUNTIF('LOADING LABOUR'!F6:F73,"A") + COUNTIF('LOADING LABOUR'!F6:F73,"B"))</f>
        <v>0</v>
      </c>
      <c r="F8" s="16">
        <f>SUM(COUNTIF('LOADING LABOUR'!G6:G73,"A") + COUNTIF('LOADING LABOUR'!G6:G73,"B"))</f>
        <v>0</v>
      </c>
      <c r="G8" s="19">
        <f>SUM(COUNTIF('LOADING LABOUR'!H6:H73,"A") + COUNTIF('LOADING LABOUR'!H6:H73,"B"))</f>
        <v>0</v>
      </c>
      <c r="H8" s="16">
        <f>SUM(COUNTIF('LOADING LABOUR'!I6:I73,"A") + COUNTIF('LOADING LABOUR'!I6:I73,"B"))</f>
        <v>0</v>
      </c>
      <c r="I8" s="19">
        <f>SUM(COUNTIF('LOADING LABOUR'!J6:J73,"A") + COUNTIF('LOADING LABOUR'!J6:J73,"B"))</f>
        <v>0</v>
      </c>
      <c r="J8" s="16">
        <f t="shared" si="0"/>
        <v>0</v>
      </c>
      <c r="K8" s="13">
        <f>'LOADING LABOUR'!K74</f>
        <v>0</v>
      </c>
    </row>
    <row r="9" spans="1:12" ht="24.75" customHeight="1" thickBot="1" x14ac:dyDescent="0.3">
      <c r="B9" s="60" t="s">
        <v>55</v>
      </c>
      <c r="C9" s="61"/>
      <c r="D9" s="61"/>
      <c r="E9" s="61"/>
      <c r="F9" s="61"/>
      <c r="G9" s="61"/>
      <c r="H9" s="61"/>
      <c r="I9" s="62"/>
      <c r="J9" s="58">
        <f>SUM(J4:J8)</f>
        <v>11</v>
      </c>
      <c r="K9" s="59">
        <f>SUM(K4:K8)</f>
        <v>8233.36</v>
      </c>
    </row>
    <row r="10" spans="1:12" ht="16.5" customHeight="1" thickBot="1" x14ac:dyDescent="0.3">
      <c r="A10" s="48"/>
      <c r="B10" s="47"/>
      <c r="C10" s="47"/>
      <c r="D10" s="47"/>
      <c r="E10" s="47"/>
      <c r="F10" s="47"/>
      <c r="G10" s="47"/>
      <c r="H10" s="47"/>
      <c r="I10" s="49"/>
      <c r="J10" s="50"/>
      <c r="K10" s="50"/>
      <c r="L10" s="48"/>
    </row>
    <row r="11" spans="1:12" ht="26.25" customHeight="1" thickBot="1" x14ac:dyDescent="0.3">
      <c r="B11" s="52" t="s">
        <v>60</v>
      </c>
      <c r="C11" s="53"/>
      <c r="D11" s="53"/>
      <c r="E11" s="53"/>
      <c r="F11" s="53"/>
      <c r="G11" s="53"/>
      <c r="H11" s="54"/>
      <c r="I11" s="77">
        <f>'SAW MILL'!K76</f>
        <v>22.333400000000001</v>
      </c>
      <c r="J11" s="78"/>
      <c r="K11" s="79"/>
    </row>
    <row r="12" spans="1:12" ht="26.25" customHeight="1" thickBot="1" x14ac:dyDescent="0.3">
      <c r="B12" s="52" t="s">
        <v>67</v>
      </c>
      <c r="C12" s="53"/>
      <c r="D12" s="53"/>
      <c r="E12" s="53"/>
      <c r="F12" s="53"/>
      <c r="G12" s="53"/>
      <c r="H12" s="54"/>
      <c r="I12" s="77">
        <f>BRIQUETTE!K76</f>
        <v>188.334</v>
      </c>
      <c r="J12" s="78"/>
      <c r="K12" s="79"/>
    </row>
    <row r="13" spans="1:12" ht="26.25" customHeight="1" thickBot="1" x14ac:dyDescent="0.3">
      <c r="B13" s="55" t="s">
        <v>71</v>
      </c>
      <c r="C13" s="56"/>
      <c r="D13" s="56"/>
      <c r="E13" s="56"/>
      <c r="F13" s="56"/>
      <c r="G13" s="56"/>
      <c r="H13" s="57"/>
      <c r="I13" s="77">
        <f>SUM(I11:K12)</f>
        <v>210.66740000000001</v>
      </c>
      <c r="J13" s="78"/>
      <c r="K13" s="79"/>
    </row>
  </sheetData>
  <mergeCells count="11">
    <mergeCell ref="B13:H13"/>
    <mergeCell ref="I13:K13"/>
    <mergeCell ref="B11:H11"/>
    <mergeCell ref="I11:K11"/>
    <mergeCell ref="B12:H12"/>
    <mergeCell ref="I12:K12"/>
    <mergeCell ref="C2:I2"/>
    <mergeCell ref="B2:B3"/>
    <mergeCell ref="J2:J3"/>
    <mergeCell ref="K2:K3"/>
    <mergeCell ref="B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WORKERS</vt:lpstr>
      <vt:lpstr>SAW MILL</vt:lpstr>
      <vt:lpstr>BRIQUETTE</vt:lpstr>
      <vt:lpstr>SAW DUST MACHINE</vt:lpstr>
      <vt:lpstr>DRIER</vt:lpstr>
      <vt:lpstr>LOADING LABOUR</vt:lpstr>
      <vt:lpstr>FINAL WEEK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2025-06-16T09:26:08Z</dcterms:created>
  <dcterms:modified xsi:type="dcterms:W3CDTF">2025-07-18T22:31:37Z</dcterms:modified>
</cp:coreProperties>
</file>